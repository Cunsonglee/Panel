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sagov\Downloads\"/>
    </mc:Choice>
  </mc:AlternateContent>
  <xr:revisionPtr revIDLastSave="0" documentId="8_{01E5403F-EA20-4554-BEDC-62E55AC9CE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rged Data" sheetId="1" r:id="rId1"/>
  </sheets>
  <definedNames>
    <definedName name="_xlnm._FilterDatabase" localSheetId="0" hidden="1">'Merged Data'!$B$1:$V$358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58" i="1" l="1"/>
  <c r="S357" i="1"/>
  <c r="S351" i="1"/>
  <c r="S350" i="1"/>
  <c r="S349" i="1"/>
  <c r="S348" i="1"/>
  <c r="S347" i="1"/>
  <c r="S346" i="1"/>
  <c r="S345" i="1"/>
  <c r="S335" i="1"/>
  <c r="S334" i="1"/>
  <c r="S325" i="1"/>
  <c r="S324" i="1"/>
  <c r="S323" i="1"/>
  <c r="S317" i="1"/>
  <c r="S316" i="1"/>
  <c r="S315" i="1"/>
  <c r="S314" i="1"/>
  <c r="S313" i="1"/>
  <c r="S312" i="1"/>
  <c r="S311" i="1"/>
  <c r="S307" i="1"/>
  <c r="S306" i="1"/>
  <c r="S295" i="1"/>
  <c r="S294" i="1"/>
  <c r="S293" i="1"/>
  <c r="S292" i="1"/>
  <c r="S291" i="1"/>
  <c r="S265" i="1"/>
  <c r="S262" i="1"/>
  <c r="S261" i="1"/>
  <c r="S260" i="1"/>
  <c r="S259" i="1"/>
  <c r="S258" i="1"/>
  <c r="S257" i="1"/>
  <c r="S256" i="1"/>
  <c r="S255" i="1"/>
  <c r="S243" i="1"/>
  <c r="S242" i="1"/>
  <c r="S238" i="1"/>
  <c r="S237" i="1"/>
  <c r="S230" i="1"/>
  <c r="S229" i="1"/>
  <c r="S228" i="1"/>
  <c r="S224" i="1"/>
  <c r="S223" i="1"/>
  <c r="S222" i="1"/>
  <c r="S201" i="1"/>
  <c r="S200" i="1"/>
  <c r="S195" i="1"/>
  <c r="S193" i="1"/>
  <c r="S192" i="1"/>
  <c r="S191" i="1"/>
  <c r="S176" i="1"/>
  <c r="S175" i="1"/>
  <c r="S174" i="1"/>
  <c r="S173" i="1"/>
  <c r="S167" i="1"/>
  <c r="S164" i="1"/>
  <c r="S161" i="1"/>
  <c r="S152" i="1"/>
  <c r="S138" i="1"/>
  <c r="S137" i="1"/>
  <c r="S136" i="1"/>
  <c r="S135" i="1"/>
  <c r="S134" i="1"/>
  <c r="S133" i="1"/>
  <c r="S132" i="1"/>
  <c r="S128" i="1"/>
  <c r="S110" i="1"/>
  <c r="S109" i="1"/>
  <c r="S108" i="1"/>
  <c r="S102" i="1"/>
  <c r="S93" i="1"/>
  <c r="S88" i="1"/>
  <c r="S87" i="1"/>
  <c r="S86" i="1"/>
  <c r="S85" i="1"/>
  <c r="S82" i="1"/>
  <c r="S81" i="1"/>
  <c r="S78" i="1"/>
  <c r="S77" i="1"/>
  <c r="S67" i="1"/>
  <c r="S63" i="1"/>
  <c r="S58" i="1"/>
  <c r="S52" i="1"/>
  <c r="S36" i="1"/>
  <c r="S35" i="1"/>
  <c r="S30" i="1"/>
  <c r="S29" i="1"/>
  <c r="S28" i="1"/>
  <c r="V28" i="1" s="1"/>
  <c r="S25" i="1"/>
  <c r="S24" i="1"/>
  <c r="S21" i="1"/>
  <c r="S14" i="1"/>
  <c r="S13" i="1"/>
  <c r="S4" i="1"/>
  <c r="P351" i="1"/>
  <c r="T351" i="1" s="1"/>
  <c r="P357" i="1"/>
  <c r="T357" i="1" s="1"/>
  <c r="P358" i="1"/>
  <c r="T358" i="1" s="1"/>
  <c r="P350" i="1"/>
  <c r="T350" i="1" s="1"/>
  <c r="P349" i="1"/>
  <c r="T349" i="1" s="1"/>
  <c r="P348" i="1"/>
  <c r="P347" i="1"/>
  <c r="P346" i="1"/>
  <c r="T346" i="1" s="1"/>
  <c r="P345" i="1"/>
  <c r="T345" i="1" s="1"/>
  <c r="P335" i="1"/>
  <c r="T335" i="1" s="1"/>
  <c r="P334" i="1"/>
  <c r="T334" i="1" s="1"/>
  <c r="P325" i="1"/>
  <c r="P324" i="1"/>
  <c r="P323" i="1"/>
  <c r="T323" i="1" s="1"/>
  <c r="P317" i="1"/>
  <c r="T317" i="1" s="1"/>
  <c r="P316" i="1"/>
  <c r="T316" i="1" s="1"/>
  <c r="P315" i="1"/>
  <c r="T315" i="1" s="1"/>
  <c r="P314" i="1"/>
  <c r="T314" i="1" s="1"/>
  <c r="P313" i="1"/>
  <c r="T313" i="1" s="1"/>
  <c r="P312" i="1"/>
  <c r="T312" i="1" s="1"/>
  <c r="P311" i="1"/>
  <c r="T311" i="1" s="1"/>
  <c r="P307" i="1"/>
  <c r="P306" i="1"/>
  <c r="P295" i="1"/>
  <c r="T295" i="1" s="1"/>
  <c r="P294" i="1"/>
  <c r="T294" i="1" s="1"/>
  <c r="P293" i="1"/>
  <c r="T293" i="1" s="1"/>
  <c r="P292" i="1"/>
  <c r="T292" i="1" s="1"/>
  <c r="P291" i="1"/>
  <c r="T291" i="1" s="1"/>
  <c r="P265" i="1"/>
  <c r="T265" i="1" s="1"/>
  <c r="P262" i="1"/>
  <c r="T262" i="1" s="1"/>
  <c r="P261" i="1"/>
  <c r="T261" i="1" s="1"/>
  <c r="P260" i="1"/>
  <c r="P259" i="1"/>
  <c r="P258" i="1"/>
  <c r="P257" i="1"/>
  <c r="P256" i="1"/>
  <c r="P255" i="1"/>
  <c r="P243" i="1"/>
  <c r="T243" i="1" s="1"/>
  <c r="P242" i="1"/>
  <c r="T242" i="1" s="1"/>
  <c r="P238" i="1"/>
  <c r="T238" i="1" s="1"/>
  <c r="P237" i="1"/>
  <c r="T237" i="1" s="1"/>
  <c r="P230" i="1"/>
  <c r="T230" i="1" s="1"/>
  <c r="P229" i="1"/>
  <c r="T229" i="1" s="1"/>
  <c r="P228" i="1"/>
  <c r="T228" i="1" s="1"/>
  <c r="P224" i="1"/>
  <c r="T224" i="1" s="1"/>
  <c r="P223" i="1"/>
  <c r="T223" i="1" s="1"/>
  <c r="P222" i="1"/>
  <c r="T222" i="1" s="1"/>
  <c r="P201" i="1"/>
  <c r="T201" i="1" s="1"/>
  <c r="P200" i="1"/>
  <c r="T200" i="1" s="1"/>
  <c r="P195" i="1"/>
  <c r="T195" i="1" s="1"/>
  <c r="P193" i="1"/>
  <c r="T193" i="1" s="1"/>
  <c r="P192" i="1"/>
  <c r="T192" i="1" s="1"/>
  <c r="P191" i="1"/>
  <c r="T191" i="1" s="1"/>
  <c r="P176" i="1"/>
  <c r="T176" i="1" s="1"/>
  <c r="P175" i="1"/>
  <c r="T175" i="1" s="1"/>
  <c r="P174" i="1"/>
  <c r="T174" i="1" s="1"/>
  <c r="P173" i="1"/>
  <c r="T173" i="1" s="1"/>
  <c r="P167" i="1"/>
  <c r="T167" i="1" s="1"/>
  <c r="P164" i="1"/>
  <c r="P161" i="1"/>
  <c r="P152" i="1"/>
  <c r="T152" i="1" s="1"/>
  <c r="P138" i="1"/>
  <c r="T138" i="1" s="1"/>
  <c r="P137" i="1"/>
  <c r="T137" i="1" s="1"/>
  <c r="P136" i="1"/>
  <c r="P135" i="1"/>
  <c r="P134" i="1"/>
  <c r="T134" i="1" s="1"/>
  <c r="P133" i="1"/>
  <c r="P132" i="1"/>
  <c r="P128" i="1"/>
  <c r="P110" i="1"/>
  <c r="P109" i="1"/>
  <c r="P108" i="1"/>
  <c r="T108" i="1" s="1"/>
  <c r="P102" i="1"/>
  <c r="T102" i="1" s="1"/>
  <c r="P93" i="1"/>
  <c r="T93" i="1" s="1"/>
  <c r="P88" i="1"/>
  <c r="T88" i="1" s="1"/>
  <c r="P87" i="1"/>
  <c r="T87" i="1" s="1"/>
  <c r="P86" i="1"/>
  <c r="T86" i="1" s="1"/>
  <c r="P85" i="1"/>
  <c r="P82" i="1"/>
  <c r="P81" i="1"/>
  <c r="T81" i="1" s="1"/>
  <c r="P78" i="1"/>
  <c r="P77" i="1"/>
  <c r="P67" i="1"/>
  <c r="T67" i="1" s="1"/>
  <c r="P63" i="1"/>
  <c r="T63" i="1" s="1"/>
  <c r="P58" i="1"/>
  <c r="T58" i="1" s="1"/>
  <c r="P52" i="1"/>
  <c r="T52" i="1" s="1"/>
  <c r="P36" i="1"/>
  <c r="T36" i="1" s="1"/>
  <c r="P35" i="1"/>
  <c r="T35" i="1" s="1"/>
  <c r="P30" i="1"/>
  <c r="T30" i="1" s="1"/>
  <c r="P29" i="1"/>
  <c r="T29" i="1" s="1"/>
  <c r="P28" i="1"/>
  <c r="T28" i="1" s="1"/>
  <c r="P25" i="1"/>
  <c r="T25" i="1" s="1"/>
  <c r="P24" i="1"/>
  <c r="P21" i="1"/>
  <c r="P14" i="1"/>
  <c r="P13" i="1"/>
  <c r="P4" i="1"/>
  <c r="T4" i="1" s="1"/>
  <c r="T14" i="1" l="1"/>
  <c r="T13" i="1"/>
  <c r="T24" i="1"/>
  <c r="T21" i="1"/>
  <c r="T78" i="1"/>
  <c r="T77" i="1"/>
  <c r="T85" i="1"/>
  <c r="T82" i="1"/>
  <c r="T110" i="1"/>
  <c r="T109" i="1"/>
  <c r="T133" i="1"/>
  <c r="T132" i="1"/>
  <c r="T128" i="1"/>
  <c r="T136" i="1"/>
  <c r="T135" i="1"/>
  <c r="T164" i="1"/>
  <c r="T161" i="1"/>
  <c r="T256" i="1"/>
  <c r="T255" i="1"/>
  <c r="T260" i="1"/>
  <c r="T259" i="1"/>
  <c r="T258" i="1"/>
  <c r="T257" i="1"/>
  <c r="T307" i="1"/>
  <c r="T306" i="1"/>
  <c r="T325" i="1"/>
  <c r="T324" i="1"/>
  <c r="T348" i="1"/>
  <c r="T347" i="1"/>
  <c r="V4" i="1"/>
  <c r="V13" i="1"/>
  <c r="V14" i="1"/>
  <c r="V21" i="1"/>
  <c r="V24" i="1"/>
  <c r="V25" i="1"/>
  <c r="V29" i="1"/>
  <c r="V30" i="1"/>
  <c r="V35" i="1"/>
  <c r="V36" i="1"/>
  <c r="V52" i="1"/>
  <c r="V58" i="1"/>
  <c r="V63" i="1"/>
  <c r="V67" i="1"/>
  <c r="V77" i="1"/>
  <c r="V78" i="1"/>
  <c r="V81" i="1"/>
  <c r="V82" i="1"/>
  <c r="V85" i="1"/>
  <c r="V86" i="1"/>
  <c r="V87" i="1"/>
  <c r="V88" i="1"/>
  <c r="V93" i="1"/>
  <c r="V102" i="1"/>
  <c r="V108" i="1"/>
  <c r="V109" i="1"/>
  <c r="V110" i="1"/>
  <c r="V128" i="1"/>
  <c r="V132" i="1"/>
  <c r="V133" i="1"/>
  <c r="V134" i="1"/>
  <c r="V135" i="1"/>
  <c r="V136" i="1"/>
  <c r="V137" i="1"/>
  <c r="V138" i="1"/>
  <c r="V152" i="1"/>
  <c r="V161" i="1"/>
  <c r="V164" i="1"/>
  <c r="V167" i="1"/>
  <c r="V173" i="1"/>
  <c r="V174" i="1"/>
  <c r="V175" i="1"/>
  <c r="V176" i="1"/>
  <c r="V191" i="1"/>
  <c r="V192" i="1"/>
  <c r="V193" i="1"/>
  <c r="V195" i="1"/>
  <c r="V200" i="1"/>
  <c r="V201" i="1"/>
  <c r="V222" i="1"/>
  <c r="V223" i="1"/>
  <c r="V224" i="1"/>
  <c r="V228" i="1"/>
  <c r="V229" i="1"/>
  <c r="V230" i="1"/>
  <c r="V237" i="1"/>
  <c r="V238" i="1"/>
  <c r="V242" i="1"/>
  <c r="V243" i="1"/>
  <c r="V255" i="1"/>
  <c r="V256" i="1"/>
  <c r="V257" i="1"/>
  <c r="V258" i="1"/>
  <c r="V259" i="1"/>
  <c r="V260" i="1"/>
  <c r="V261" i="1"/>
  <c r="V262" i="1"/>
  <c r="V265" i="1"/>
  <c r="V291" i="1"/>
  <c r="V292" i="1"/>
  <c r="V293" i="1"/>
  <c r="V294" i="1"/>
  <c r="V295" i="1"/>
  <c r="V306" i="1"/>
  <c r="V307" i="1"/>
  <c r="V311" i="1"/>
  <c r="V312" i="1"/>
  <c r="V313" i="1"/>
  <c r="V314" i="1"/>
  <c r="V315" i="1"/>
  <c r="V316" i="1"/>
  <c r="V317" i="1"/>
  <c r="V323" i="1"/>
  <c r="V324" i="1"/>
  <c r="V325" i="1"/>
  <c r="V334" i="1"/>
  <c r="V335" i="1"/>
  <c r="V345" i="1"/>
  <c r="V346" i="1"/>
  <c r="V347" i="1"/>
  <c r="V348" i="1"/>
  <c r="V349" i="1"/>
  <c r="V350" i="1"/>
  <c r="V351" i="1"/>
  <c r="V357" i="1"/>
  <c r="V358" i="1"/>
</calcChain>
</file>

<file path=xl/sharedStrings.xml><?xml version="1.0" encoding="utf-8"?>
<sst xmlns="http://schemas.openxmlformats.org/spreadsheetml/2006/main" count="1639" uniqueCount="805">
  <si>
    <t>País</t>
  </si>
  <si>
    <t>ISO3</t>
  </si>
  <si>
    <t>Nota_País</t>
  </si>
  <si>
    <t>Estado_País</t>
  </si>
  <si>
    <t>Estado_Producto</t>
  </si>
  <si>
    <t>Producto</t>
  </si>
  <si>
    <t>Implementación</t>
  </si>
  <si>
    <t>Nota_Producto</t>
  </si>
  <si>
    <t>O (Pedidos)</t>
  </si>
  <si>
    <t>K (Conversión %)</t>
  </si>
  <si>
    <t>E (Extra Keys)</t>
  </si>
  <si>
    <t>F (Documentos)</t>
  </si>
  <si>
    <t>L (Lógica Dinámica)</t>
  </si>
  <si>
    <t>S (Tipo de County details)</t>
  </si>
  <si>
    <t>M (Impacto Precio)</t>
  </si>
  <si>
    <t>P (Point)</t>
  </si>
  <si>
    <t>Última actualización parcial</t>
  </si>
  <si>
    <t>Última actualización completa</t>
  </si>
  <si>
    <t>Factor de Tiempo</t>
  </si>
  <si>
    <t>Score Total País</t>
  </si>
  <si>
    <t>Cantidad Prod</t>
  </si>
  <si>
    <t>Prioridad Final</t>
  </si>
  <si>
    <t>Aruba</t>
  </si>
  <si>
    <t>ABW</t>
  </si>
  <si>
    <t>Afganistán</t>
  </si>
  <si>
    <t>AFG</t>
  </si>
  <si>
    <t>Angola</t>
  </si>
  <si>
    <t>AGO</t>
  </si>
  <si>
    <t>ID 36</t>
  </si>
  <si>
    <t>Activo</t>
  </si>
  <si>
    <t>ago_tourist</t>
  </si>
  <si>
    <t>Pre-visa</t>
  </si>
  <si>
    <t>https://visagov.atlassian.net/browse/PRO-293</t>
  </si>
  <si>
    <t>Anguila</t>
  </si>
  <si>
    <t>AIA</t>
  </si>
  <si>
    <t>Islas Åland</t>
  </si>
  <si>
    <t>ALA</t>
  </si>
  <si>
    <t>Albania</t>
  </si>
  <si>
    <t>ALB</t>
  </si>
  <si>
    <t>Andorra</t>
  </si>
  <si>
    <t>AND</t>
  </si>
  <si>
    <t>Emiratos Árabes Unidos</t>
  </si>
  <si>
    <t>ARE</t>
  </si>
  <si>
    <t>ID 44</t>
  </si>
  <si>
    <t>Inactivo</t>
  </si>
  <si>
    <t>are_tourist_single</t>
  </si>
  <si>
    <t>eVisa</t>
  </si>
  <si>
    <t>are_transit_2_days</t>
  </si>
  <si>
    <t>are_transit_4_days</t>
  </si>
  <si>
    <t>Argentina</t>
  </si>
  <si>
    <t>ARG</t>
  </si>
  <si>
    <t>Armenia</t>
  </si>
  <si>
    <t>ARM</t>
  </si>
  <si>
    <t>ID 32</t>
  </si>
  <si>
    <t>arm_visitor-120</t>
  </si>
  <si>
    <t>https://visagov.atlassian.net/browse/VIS-905</t>
  </si>
  <si>
    <t>arm_visitor-21</t>
  </si>
  <si>
    <t>Samoa Americana</t>
  </si>
  <si>
    <t>ASM</t>
  </si>
  <si>
    <t>Antártida</t>
  </si>
  <si>
    <t>ATA</t>
  </si>
  <si>
    <t>Tierras Australes Francesas</t>
  </si>
  <si>
    <t>ATF</t>
  </si>
  <si>
    <t>Antigua y Barbuda</t>
  </si>
  <si>
    <t>ATG</t>
  </si>
  <si>
    <t>ID 40</t>
  </si>
  <si>
    <t>atg_transit</t>
  </si>
  <si>
    <t>atg_transit-urgent</t>
  </si>
  <si>
    <t>atg_visitor_single</t>
  </si>
  <si>
    <t>Australia</t>
  </si>
  <si>
    <t>AUS</t>
  </si>
  <si>
    <t>ID 2</t>
  </si>
  <si>
    <t>aus_simple</t>
  </si>
  <si>
    <t>eVisitor</t>
  </si>
  <si>
    <t>https://visagov.atlassian.net/browse/PRO-957</t>
  </si>
  <si>
    <t>aus_urgent</t>
  </si>
  <si>
    <t>Austria</t>
  </si>
  <si>
    <t>AUT</t>
  </si>
  <si>
    <t>Azerbaiyán</t>
  </si>
  <si>
    <t>AZE</t>
  </si>
  <si>
    <t>ID 1</t>
  </si>
  <si>
    <t>aze_simple</t>
  </si>
  <si>
    <t>https://visagov.atlassian.net/browse/PRO-1035</t>
  </si>
  <si>
    <t>aze_urgent</t>
  </si>
  <si>
    <t>https://visagov.atlassian.net/browse/PRO-422</t>
  </si>
  <si>
    <t>Burundi</t>
  </si>
  <si>
    <t>BDI</t>
  </si>
  <si>
    <t>Bélgica</t>
  </si>
  <si>
    <t>BEL</t>
  </si>
  <si>
    <t>Benín</t>
  </si>
  <si>
    <t>BEN</t>
  </si>
  <si>
    <t>ID 28</t>
  </si>
  <si>
    <t>ben_multiple_entries_30</t>
  </si>
  <si>
    <t>https://visagov.atlassian.net/browse/PRO-420</t>
  </si>
  <si>
    <t>ben_multiple_entries_90</t>
  </si>
  <si>
    <t>ben_single_entry_30</t>
  </si>
  <si>
    <t>Caribe Neerlandés</t>
  </si>
  <si>
    <t>BES</t>
  </si>
  <si>
    <t>Burkina Faso</t>
  </si>
  <si>
    <t>BFA</t>
  </si>
  <si>
    <t>Bangladés</t>
  </si>
  <si>
    <t>BGD</t>
  </si>
  <si>
    <t>Bulgaria</t>
  </si>
  <si>
    <t>BGR</t>
  </si>
  <si>
    <t>Baréin</t>
  </si>
  <si>
    <t>BHR</t>
  </si>
  <si>
    <t>ID 21</t>
  </si>
  <si>
    <t>bhr_multiple_month</t>
  </si>
  <si>
    <t>https://visagov.atlassian.net/browse/PRO-1047</t>
  </si>
  <si>
    <t>bhr_single_entry</t>
  </si>
  <si>
    <t>bhr_formula_1</t>
  </si>
  <si>
    <t>https://visagov.atlassian.net/browse/PRO-217</t>
  </si>
  <si>
    <t>Bahamas</t>
  </si>
  <si>
    <t>BHS</t>
  </si>
  <si>
    <t>Bosnia y Herzegovina</t>
  </si>
  <si>
    <t>BIH</t>
  </si>
  <si>
    <t>San Bartolomé</t>
  </si>
  <si>
    <t>BLM</t>
  </si>
  <si>
    <t>Bielorrusia</t>
  </si>
  <si>
    <t>BLR</t>
  </si>
  <si>
    <t>Belice</t>
  </si>
  <si>
    <t>BLZ</t>
  </si>
  <si>
    <t>Bermudas</t>
  </si>
  <si>
    <t>BMU</t>
  </si>
  <si>
    <t>Bolivia</t>
  </si>
  <si>
    <t>BOL</t>
  </si>
  <si>
    <t>Brasil</t>
  </si>
  <si>
    <t>BRA</t>
  </si>
  <si>
    <t>ID 48</t>
  </si>
  <si>
    <t>bra_evisa</t>
  </si>
  <si>
    <t>Barbados</t>
  </si>
  <si>
    <t>BRB</t>
  </si>
  <si>
    <t>Brunéi</t>
  </si>
  <si>
    <t>BRN</t>
  </si>
  <si>
    <t>Bután</t>
  </si>
  <si>
    <t>BTN</t>
  </si>
  <si>
    <t>Isla Bouvet</t>
  </si>
  <si>
    <t>BVT</t>
  </si>
  <si>
    <t>Botsuana</t>
  </si>
  <si>
    <t>BWA</t>
  </si>
  <si>
    <t>República Centroafricana</t>
  </si>
  <si>
    <t>CAF</t>
  </si>
  <si>
    <t>Canadá</t>
  </si>
  <si>
    <t>CAN</t>
  </si>
  <si>
    <t>ID 3</t>
  </si>
  <si>
    <t>can_simple</t>
  </si>
  <si>
    <t>eTA</t>
  </si>
  <si>
    <t>https://visagov.atlassian.net/browse/PRO-358</t>
  </si>
  <si>
    <t>can_urgent</t>
  </si>
  <si>
    <t>Islas Cocos</t>
  </si>
  <si>
    <t>CCK</t>
  </si>
  <si>
    <t>Suiza</t>
  </si>
  <si>
    <t>CHE</t>
  </si>
  <si>
    <t>Chile</t>
  </si>
  <si>
    <t>CHL</t>
  </si>
  <si>
    <t>China</t>
  </si>
  <si>
    <t>CHN</t>
  </si>
  <si>
    <t>Costa de Marfil</t>
  </si>
  <si>
    <t>CIV</t>
  </si>
  <si>
    <t>ID 4</t>
  </si>
  <si>
    <t>civ_simple</t>
  </si>
  <si>
    <t>https://visagov.atlassian.net/browse/PRO-424</t>
  </si>
  <si>
    <t>Camerún</t>
  </si>
  <si>
    <t>CMR</t>
  </si>
  <si>
    <t>R. D. del Congo</t>
  </si>
  <si>
    <t>COD</t>
  </si>
  <si>
    <t>Congo</t>
  </si>
  <si>
    <t>COG</t>
  </si>
  <si>
    <t>Islas Cook</t>
  </si>
  <si>
    <t>COK</t>
  </si>
  <si>
    <t>Colombia</t>
  </si>
  <si>
    <t>COL</t>
  </si>
  <si>
    <t>ID 49</t>
  </si>
  <si>
    <t>col_checkmig</t>
  </si>
  <si>
    <t>CheckMig</t>
  </si>
  <si>
    <t>https://visagov.atlassian.net/browse/PRO-331</t>
  </si>
  <si>
    <t>Comoras</t>
  </si>
  <si>
    <t>COM</t>
  </si>
  <si>
    <t>Cabo Verde</t>
  </si>
  <si>
    <t>CPV</t>
  </si>
  <si>
    <t>Costa Rica</t>
  </si>
  <si>
    <t>CRI</t>
  </si>
  <si>
    <t>Cuba</t>
  </si>
  <si>
    <t>CUB</t>
  </si>
  <si>
    <t>ID 5</t>
  </si>
  <si>
    <t>cub_evisa_except_usa</t>
  </si>
  <si>
    <t>https://visagov.atlassian.net/browse/PRO-954</t>
  </si>
  <si>
    <t>cub_evisa_usa</t>
  </si>
  <si>
    <t>cub_from_us</t>
  </si>
  <si>
    <t>cub_from_worldwide</t>
  </si>
  <si>
    <t>Curazao</t>
  </si>
  <si>
    <t>CUW</t>
  </si>
  <si>
    <t>Isla de Navidad</t>
  </si>
  <si>
    <t>CXR</t>
  </si>
  <si>
    <t>Islas Caimán</t>
  </si>
  <si>
    <t>CYM</t>
  </si>
  <si>
    <t>Chipre</t>
  </si>
  <si>
    <t>CYP</t>
  </si>
  <si>
    <t>Chequia</t>
  </si>
  <si>
    <t>CZE</t>
  </si>
  <si>
    <t>Alemania</t>
  </si>
  <si>
    <t>DEU</t>
  </si>
  <si>
    <t>Yibuti</t>
  </si>
  <si>
    <t>DJI</t>
  </si>
  <si>
    <t>ID 19</t>
  </si>
  <si>
    <t>dji_short_stay</t>
  </si>
  <si>
    <t>https://visagov.atlassian.net/browse/PRO-154</t>
  </si>
  <si>
    <t>dji_transit</t>
  </si>
  <si>
    <t>Dominica</t>
  </si>
  <si>
    <t>DMA</t>
  </si>
  <si>
    <t>Dinamarca</t>
  </si>
  <si>
    <t>DNK</t>
  </si>
  <si>
    <t>República Dominicana</t>
  </si>
  <si>
    <t>DOM</t>
  </si>
  <si>
    <t>ID 47</t>
  </si>
  <si>
    <t>dom_eticket</t>
  </si>
  <si>
    <t>e-Ticket</t>
  </si>
  <si>
    <t>https://visagov.atlassian.net/browse/PRO-578</t>
  </si>
  <si>
    <t>dom_eticket_urgent</t>
  </si>
  <si>
    <t>Argelia</t>
  </si>
  <si>
    <t>DZA</t>
  </si>
  <si>
    <t>Ecuador</t>
  </si>
  <si>
    <t>ECU</t>
  </si>
  <si>
    <t>Egipto</t>
  </si>
  <si>
    <t>EGY</t>
  </si>
  <si>
    <t>ID 6</t>
  </si>
  <si>
    <t>egy_multiple_entry</t>
  </si>
  <si>
    <t>https://visagov.atlassian.net/browse/PRO-348</t>
  </si>
  <si>
    <t>egy_multiple_entry_urgent</t>
  </si>
  <si>
    <t>egy_single_entry</t>
  </si>
  <si>
    <t>egy_single_entry_urgent</t>
  </si>
  <si>
    <t>Eritrea</t>
  </si>
  <si>
    <t>ERI</t>
  </si>
  <si>
    <t>Sahara Occidental</t>
  </si>
  <si>
    <t>ESH</t>
  </si>
  <si>
    <t>España</t>
  </si>
  <si>
    <t>ESP</t>
  </si>
  <si>
    <t>Estonia</t>
  </si>
  <si>
    <t>EST</t>
  </si>
  <si>
    <t>Etiopía</t>
  </si>
  <si>
    <t>ETH</t>
  </si>
  <si>
    <t>ID 7</t>
  </si>
  <si>
    <t>eth_single_entry_30</t>
  </si>
  <si>
    <t>https://visagov.atlassian.net/browse/PRO-421</t>
  </si>
  <si>
    <t>eth_single_entry_90</t>
  </si>
  <si>
    <t>Finlandia</t>
  </si>
  <si>
    <t>FIN</t>
  </si>
  <si>
    <t>Fiyi</t>
  </si>
  <si>
    <t>FJI</t>
  </si>
  <si>
    <t>Islas Malvinas</t>
  </si>
  <si>
    <t>FLK</t>
  </si>
  <si>
    <t>Francia</t>
  </si>
  <si>
    <t>FRA</t>
  </si>
  <si>
    <t>Islas Feroe</t>
  </si>
  <si>
    <t>FRO</t>
  </si>
  <si>
    <t>Micronesia</t>
  </si>
  <si>
    <t>FSM</t>
  </si>
  <si>
    <t>Gabón</t>
  </si>
  <si>
    <t>GAB</t>
  </si>
  <si>
    <t>Reino Unido</t>
  </si>
  <si>
    <t>GBR</t>
  </si>
  <si>
    <t>ID 53</t>
  </si>
  <si>
    <t>gbr_eta</t>
  </si>
  <si>
    <t>https://visagov.atlassian.net/browse/PRO-1072</t>
  </si>
  <si>
    <t>gbr_urgent</t>
  </si>
  <si>
    <t>https://visagov.atlassian.net/browse/PRO-833</t>
  </si>
  <si>
    <t>Georgia</t>
  </si>
  <si>
    <t>GEO</t>
  </si>
  <si>
    <t>ID 43</t>
  </si>
  <si>
    <t>geo_multiple</t>
  </si>
  <si>
    <t>Guernesey</t>
  </si>
  <si>
    <t>GGY</t>
  </si>
  <si>
    <t>Ghana</t>
  </si>
  <si>
    <t>GHA</t>
  </si>
  <si>
    <t>Gibraltar</t>
  </si>
  <si>
    <t>GIB</t>
  </si>
  <si>
    <t>Guinea</t>
  </si>
  <si>
    <t>GIN</t>
  </si>
  <si>
    <t>ID 33</t>
  </si>
  <si>
    <t>gin_tourist</t>
  </si>
  <si>
    <t>https://visagov.atlassian.net/browse/PRO-500</t>
  </si>
  <si>
    <t>gin_transborderment</t>
  </si>
  <si>
    <t>gin_transit</t>
  </si>
  <si>
    <t>Guadalupe</t>
  </si>
  <si>
    <t>GLP</t>
  </si>
  <si>
    <t>Gambia</t>
  </si>
  <si>
    <t>GMB</t>
  </si>
  <si>
    <t>Guinea-Bisáu</t>
  </si>
  <si>
    <t>GNB</t>
  </si>
  <si>
    <t>Guinea Ecuatorial</t>
  </si>
  <si>
    <t>GNQ</t>
  </si>
  <si>
    <t>Grecia</t>
  </si>
  <si>
    <t>GRC</t>
  </si>
  <si>
    <t>Granada</t>
  </si>
  <si>
    <t>GRD</t>
  </si>
  <si>
    <t>Groenlandia</t>
  </si>
  <si>
    <t>GRL</t>
  </si>
  <si>
    <t>Guatemala</t>
  </si>
  <si>
    <t>GTM</t>
  </si>
  <si>
    <t>Guayana Francesa</t>
  </si>
  <si>
    <t>GUF</t>
  </si>
  <si>
    <t>Guam</t>
  </si>
  <si>
    <t>GUM</t>
  </si>
  <si>
    <t>Guyana</t>
  </si>
  <si>
    <t>GUY</t>
  </si>
  <si>
    <t>Hong Kong</t>
  </si>
  <si>
    <t>HKG</t>
  </si>
  <si>
    <t>Islas Heard y McDonald</t>
  </si>
  <si>
    <t>HMD</t>
  </si>
  <si>
    <t>Honduras</t>
  </si>
  <si>
    <t>HND</t>
  </si>
  <si>
    <t>Croacia</t>
  </si>
  <si>
    <t>HRV</t>
  </si>
  <si>
    <t>Haití</t>
  </si>
  <si>
    <t>HTI</t>
  </si>
  <si>
    <t>Hungría</t>
  </si>
  <si>
    <t>HUN</t>
  </si>
  <si>
    <t>Indonesia</t>
  </si>
  <si>
    <t>IDN</t>
  </si>
  <si>
    <t>ID 52</t>
  </si>
  <si>
    <t>idn_evoa</t>
  </si>
  <si>
    <t>e-VOA</t>
  </si>
  <si>
    <t>https://visagov.atlassian.net/browse/PRO-1040</t>
  </si>
  <si>
    <t>idn_evoa_bali</t>
  </si>
  <si>
    <t>idn_urgent</t>
  </si>
  <si>
    <t>Isla de Man</t>
  </si>
  <si>
    <t>IMN</t>
  </si>
  <si>
    <t>India</t>
  </si>
  <si>
    <t>IND</t>
  </si>
  <si>
    <t>ID 8</t>
  </si>
  <si>
    <t>ind_business</t>
  </si>
  <si>
    <t>https://visagov.atlassian.net/browse/PRO-914</t>
  </si>
  <si>
    <t>ind_conference</t>
  </si>
  <si>
    <t>ind_medical</t>
  </si>
  <si>
    <t>ind_medical_attendant</t>
  </si>
  <si>
    <t>ind_tourist-1</t>
  </si>
  <si>
    <t>ind_tourist-30</t>
  </si>
  <si>
    <t>https://visagov.atlassian.net/browse/PRO-1060</t>
  </si>
  <si>
    <t>ind_tourist-5</t>
  </si>
  <si>
    <t>Territorio Británico del Océano Índico</t>
  </si>
  <si>
    <t>IOT</t>
  </si>
  <si>
    <t>Irlanda</t>
  </si>
  <si>
    <t>IRL</t>
  </si>
  <si>
    <t>Irán</t>
  </si>
  <si>
    <t>IRN</t>
  </si>
  <si>
    <t>ID 45</t>
  </si>
  <si>
    <t>irn_tourist</t>
  </si>
  <si>
    <t>irn_transit</t>
  </si>
  <si>
    <t>Irak</t>
  </si>
  <si>
    <t>IRQ</t>
  </si>
  <si>
    <t>Islandia</t>
  </si>
  <si>
    <t>ISL</t>
  </si>
  <si>
    <t>Israel</t>
  </si>
  <si>
    <t>ISR</t>
  </si>
  <si>
    <t>Italia</t>
  </si>
  <si>
    <t>ITA</t>
  </si>
  <si>
    <t>Jamaica</t>
  </si>
  <si>
    <t>JAM</t>
  </si>
  <si>
    <t>Jersey</t>
  </si>
  <si>
    <t>JEY</t>
  </si>
  <si>
    <t>Jordania</t>
  </si>
  <si>
    <t>JOR</t>
  </si>
  <si>
    <t>Japón</t>
  </si>
  <si>
    <t>JPN</t>
  </si>
  <si>
    <t>Kazajistán</t>
  </si>
  <si>
    <t>KAZ</t>
  </si>
  <si>
    <t>Kenia</t>
  </si>
  <si>
    <t>KEN</t>
  </si>
  <si>
    <t>ID 9</t>
  </si>
  <si>
    <t>ken_simple</t>
  </si>
  <si>
    <t>https://visagov.atlassian.net/browse/PRO-347</t>
  </si>
  <si>
    <t>ken_east_africa</t>
  </si>
  <si>
    <t>https://visagov.atlassian.net/browse/PRO-845</t>
  </si>
  <si>
    <t>ken_east_africa_old</t>
  </si>
  <si>
    <t>ken_multiple_entry</t>
  </si>
  <si>
    <t>ken_single_entry</t>
  </si>
  <si>
    <t>ken_transit</t>
  </si>
  <si>
    <t>Kirguistán</t>
  </si>
  <si>
    <t>KGZ</t>
  </si>
  <si>
    <t>ID 31</t>
  </si>
  <si>
    <t>kgz_tourist-30</t>
  </si>
  <si>
    <t>kgz_tourist-60</t>
  </si>
  <si>
    <t>kgz_transit</t>
  </si>
  <si>
    <t>Camboya</t>
  </si>
  <si>
    <t>KHM</t>
  </si>
  <si>
    <t>ID 10</t>
  </si>
  <si>
    <t>khm_tourism</t>
  </si>
  <si>
    <t>https://visagov.atlassian.net/browse/PRO-419</t>
  </si>
  <si>
    <t>Kiribati</t>
  </si>
  <si>
    <t>KIR</t>
  </si>
  <si>
    <t>San Cristóbal y Nieves</t>
  </si>
  <si>
    <t>KNA</t>
  </si>
  <si>
    <t>Corea del Sur</t>
  </si>
  <si>
    <t>KOR</t>
  </si>
  <si>
    <t>ID 51</t>
  </si>
  <si>
    <t>korea_eta</t>
  </si>
  <si>
    <t>K-ETA</t>
  </si>
  <si>
    <t>https://visagov.atlassian.net/browse/PRO-1003</t>
  </si>
  <si>
    <t>kor_urgent</t>
  </si>
  <si>
    <t>Kuwait</t>
  </si>
  <si>
    <t>KWT</t>
  </si>
  <si>
    <t>ID 27</t>
  </si>
  <si>
    <t>kwt_tourist_single</t>
  </si>
  <si>
    <t>https://visagov.atlassian.net/browse/PRO-1050</t>
  </si>
  <si>
    <t>Laos</t>
  </si>
  <si>
    <t>LAO</t>
  </si>
  <si>
    <t>ID 29</t>
  </si>
  <si>
    <t>lao_tourist</t>
  </si>
  <si>
    <t>https://visagov.atlassian.net/browse/PRO-1070</t>
  </si>
  <si>
    <t>Líbano</t>
  </si>
  <si>
    <t>LBN</t>
  </si>
  <si>
    <t>Liberia</t>
  </si>
  <si>
    <t>LBR</t>
  </si>
  <si>
    <t>Libia</t>
  </si>
  <si>
    <t>LBY</t>
  </si>
  <si>
    <t>Santa Lucía</t>
  </si>
  <si>
    <t>LCA</t>
  </si>
  <si>
    <t>Liechtenstein</t>
  </si>
  <si>
    <t>LIE</t>
  </si>
  <si>
    <t>Sri Lanka</t>
  </si>
  <si>
    <t>LKA</t>
  </si>
  <si>
    <t>ID 11</t>
  </si>
  <si>
    <t>lka_business</t>
  </si>
  <si>
    <t>https://visagov.atlassian.net/browse/PRO-71</t>
  </si>
  <si>
    <t>lka_tourist_eta</t>
  </si>
  <si>
    <t>https://visagov.atlassian.net/browse/PRO-609</t>
  </si>
  <si>
    <t>lka_tourist_eta_urgent</t>
  </si>
  <si>
    <t>lka_transit</t>
  </si>
  <si>
    <t>https://visagov.atlassian.net/browse/PRO-72</t>
  </si>
  <si>
    <t>lka_tourist</t>
  </si>
  <si>
    <t>lka_tourist_3_months</t>
  </si>
  <si>
    <t>lka_tourist_30_days</t>
  </si>
  <si>
    <t>lka_tourist_60_days</t>
  </si>
  <si>
    <t>tourist_6_month</t>
  </si>
  <si>
    <t>Lesoto</t>
  </si>
  <si>
    <t>LSO</t>
  </si>
  <si>
    <t>Lituania</t>
  </si>
  <si>
    <t>LTU</t>
  </si>
  <si>
    <t>Luxemburgo</t>
  </si>
  <si>
    <t>LUX</t>
  </si>
  <si>
    <t>Letonia</t>
  </si>
  <si>
    <t>LVA</t>
  </si>
  <si>
    <t>Macao</t>
  </si>
  <si>
    <t>MAC</t>
  </si>
  <si>
    <t>San Martín (Francia)</t>
  </si>
  <si>
    <t>MAF</t>
  </si>
  <si>
    <t>Marruecos</t>
  </si>
  <si>
    <t>MAR</t>
  </si>
  <si>
    <t>Mónaco</t>
  </si>
  <si>
    <t>MCO</t>
  </si>
  <si>
    <t>Moldavia</t>
  </si>
  <si>
    <t>MDA</t>
  </si>
  <si>
    <t>Madagascar</t>
  </si>
  <si>
    <t>MDG</t>
  </si>
  <si>
    <t>ID 30</t>
  </si>
  <si>
    <t>mdg_tourist-15</t>
  </si>
  <si>
    <t>https://visagov.atlassian.net/browse/PRO-496</t>
  </si>
  <si>
    <t>mdg_tourist-30</t>
  </si>
  <si>
    <t>mdg_tourist-60</t>
  </si>
  <si>
    <t>Maldivas</t>
  </si>
  <si>
    <t>MDV</t>
  </si>
  <si>
    <t>México</t>
  </si>
  <si>
    <t>MEX</t>
  </si>
  <si>
    <t>ID 39</t>
  </si>
  <si>
    <t>mex_tourist_180_land</t>
  </si>
  <si>
    <t>FMM</t>
  </si>
  <si>
    <t>https://visagov.atlassian.net/browse/VIS-1213</t>
  </si>
  <si>
    <t>Islas Marshall</t>
  </si>
  <si>
    <t>MHL</t>
  </si>
  <si>
    <t>Macedonia del Norte</t>
  </si>
  <si>
    <t>MKD</t>
  </si>
  <si>
    <t>Malí</t>
  </si>
  <si>
    <t>MLI</t>
  </si>
  <si>
    <t>Malta</t>
  </si>
  <si>
    <t>MLT</t>
  </si>
  <si>
    <t>Myanmar</t>
  </si>
  <si>
    <t>MMR</t>
  </si>
  <si>
    <t>ID 12</t>
  </si>
  <si>
    <t>mmr_business</t>
  </si>
  <si>
    <t>https://visagov.atlassian.net/browse/PRO-494</t>
  </si>
  <si>
    <t>mmr_tourist</t>
  </si>
  <si>
    <t>Montenegro</t>
  </si>
  <si>
    <t>MNE</t>
  </si>
  <si>
    <t>Mongolia</t>
  </si>
  <si>
    <t>MNG</t>
  </si>
  <si>
    <t>Islas Marianas del Norte</t>
  </si>
  <si>
    <t>MNP</t>
  </si>
  <si>
    <t>Mozambique</t>
  </si>
  <si>
    <t>MOZ</t>
  </si>
  <si>
    <t>Mauritania</t>
  </si>
  <si>
    <t>MRT</t>
  </si>
  <si>
    <t>Montserrat</t>
  </si>
  <si>
    <t>MSR</t>
  </si>
  <si>
    <t>ID 34</t>
  </si>
  <si>
    <t>msr_tourist</t>
  </si>
  <si>
    <t>Martinica</t>
  </si>
  <si>
    <t>MTQ</t>
  </si>
  <si>
    <t>Mauricio</t>
  </si>
  <si>
    <t>MUS</t>
  </si>
  <si>
    <t>Malaui</t>
  </si>
  <si>
    <t>MWI</t>
  </si>
  <si>
    <t>Malasia</t>
  </si>
  <si>
    <t>MYS</t>
  </si>
  <si>
    <t>Mayotte</t>
  </si>
  <si>
    <t>MYT</t>
  </si>
  <si>
    <t>Namibia</t>
  </si>
  <si>
    <t>NAM</t>
  </si>
  <si>
    <t>Nueva Caledonia</t>
  </si>
  <si>
    <t>NCL</t>
  </si>
  <si>
    <t>Níger</t>
  </si>
  <si>
    <t>NER</t>
  </si>
  <si>
    <t>Isla Norfolk</t>
  </si>
  <si>
    <t>NFK</t>
  </si>
  <si>
    <t>Nigeria</t>
  </si>
  <si>
    <t>NGA</t>
  </si>
  <si>
    <t>Nicaragua</t>
  </si>
  <si>
    <t>NIC</t>
  </si>
  <si>
    <t>Niue</t>
  </si>
  <si>
    <t>NIU</t>
  </si>
  <si>
    <t>Países Bajos</t>
  </si>
  <si>
    <t>NLD</t>
  </si>
  <si>
    <t>Noruega</t>
  </si>
  <si>
    <t>NOR</t>
  </si>
  <si>
    <t>Nepal</t>
  </si>
  <si>
    <t>NPL</t>
  </si>
  <si>
    <t>ID 35</t>
  </si>
  <si>
    <t>npl_tourist-15</t>
  </si>
  <si>
    <t>https://visagov.atlassian.net/browse/PRO-923</t>
  </si>
  <si>
    <t>npl_tourist-30</t>
  </si>
  <si>
    <t>npl_tourist-90</t>
  </si>
  <si>
    <t>Nauru</t>
  </si>
  <si>
    <t>NRU</t>
  </si>
  <si>
    <t>Nueva Zelanda</t>
  </si>
  <si>
    <t>NZL</t>
  </si>
  <si>
    <t>ID 26</t>
  </si>
  <si>
    <t>nzl_transit</t>
  </si>
  <si>
    <t>NZeTA</t>
  </si>
  <si>
    <t>nzl_urgent</t>
  </si>
  <si>
    <t>nzl_tourist</t>
  </si>
  <si>
    <t>https://visagov.atlassian.net/browse/PRO-344</t>
  </si>
  <si>
    <t>Omán</t>
  </si>
  <si>
    <t>OMN</t>
  </si>
  <si>
    <t>ID 13</t>
  </si>
  <si>
    <t>omn_multiple_1_year</t>
  </si>
  <si>
    <t>https://visagov.atlassian.net/browse/VIS-966</t>
  </si>
  <si>
    <t>omn_simple_30_days</t>
  </si>
  <si>
    <t>https://visagov.atlassian.net/browse/PRO-915</t>
  </si>
  <si>
    <t>Pakistán</t>
  </si>
  <si>
    <t>PAK</t>
  </si>
  <si>
    <t>Panamá</t>
  </si>
  <si>
    <t>PAN</t>
  </si>
  <si>
    <t>Islas Pitcairn</t>
  </si>
  <si>
    <t>PCN</t>
  </si>
  <si>
    <t>Perú</t>
  </si>
  <si>
    <t>PER</t>
  </si>
  <si>
    <t>Filipinas</t>
  </si>
  <si>
    <t>PHL</t>
  </si>
  <si>
    <t>Palaos</t>
  </si>
  <si>
    <t>PLW</t>
  </si>
  <si>
    <t>Papúa Nueva Guinea</t>
  </si>
  <si>
    <t>PNG</t>
  </si>
  <si>
    <t>ID 37</t>
  </si>
  <si>
    <t>png_easy-visitor-30</t>
  </si>
  <si>
    <t>https://visagov.atlassian.net/browse/PRO-499</t>
  </si>
  <si>
    <t>png_easy-visitor-60</t>
  </si>
  <si>
    <t>Polonia</t>
  </si>
  <si>
    <t>POL</t>
  </si>
  <si>
    <t>Puerto Rico</t>
  </si>
  <si>
    <t>PRI</t>
  </si>
  <si>
    <t>ID 38</t>
  </si>
  <si>
    <t>pri_transit</t>
  </si>
  <si>
    <t>ESTA</t>
  </si>
  <si>
    <t>pri_transit_urgent</t>
  </si>
  <si>
    <t>pri_simple</t>
  </si>
  <si>
    <t>https://visagov.atlassian.net/browse/PRO-913</t>
  </si>
  <si>
    <t>pri_simple_urgent</t>
  </si>
  <si>
    <t>Corea del Norte</t>
  </si>
  <si>
    <t>PRK</t>
  </si>
  <si>
    <t>Portugal</t>
  </si>
  <si>
    <t>PRT</t>
  </si>
  <si>
    <t>Paraguay</t>
  </si>
  <si>
    <t>PRY</t>
  </si>
  <si>
    <t>Palestina</t>
  </si>
  <si>
    <t>PSE</t>
  </si>
  <si>
    <t>Polinesia Francesa</t>
  </si>
  <si>
    <t>PYF</t>
  </si>
  <si>
    <t>Catar</t>
  </si>
  <si>
    <t>QAT</t>
  </si>
  <si>
    <t>Reunión</t>
  </si>
  <si>
    <t>REU</t>
  </si>
  <si>
    <t>Rumania</t>
  </si>
  <si>
    <t>ROU</t>
  </si>
  <si>
    <t>Rusia</t>
  </si>
  <si>
    <t>RUS</t>
  </si>
  <si>
    <t>ID 25</t>
  </si>
  <si>
    <t>rus_far_eastern</t>
  </si>
  <si>
    <t>rus_kaliningrad</t>
  </si>
  <si>
    <t>rus_saint_petersburg</t>
  </si>
  <si>
    <t>Ruanda</t>
  </si>
  <si>
    <t>RWA</t>
  </si>
  <si>
    <t>ID 14</t>
  </si>
  <si>
    <t>rwa_east_africa</t>
  </si>
  <si>
    <t>https://visagov.atlassian.net/browse/PRO-357</t>
  </si>
  <si>
    <t>rwa_family_30</t>
  </si>
  <si>
    <t>rwa_holiday_30</t>
  </si>
  <si>
    <t>rwa_multi</t>
  </si>
  <si>
    <t>rwa_transit</t>
  </si>
  <si>
    <t>Arabia Saudita</t>
  </si>
  <si>
    <t>SAU</t>
  </si>
  <si>
    <t>ID 20</t>
  </si>
  <si>
    <t>sau_tourist</t>
  </si>
  <si>
    <t>https://visagov.atlassian.net/browse/PRO-349</t>
  </si>
  <si>
    <t>sau_tourist_urgent</t>
  </si>
  <si>
    <t>sau_transit</t>
  </si>
  <si>
    <t>Sudán</t>
  </si>
  <si>
    <t>SDN</t>
  </si>
  <si>
    <t>Senegal</t>
  </si>
  <si>
    <t>SEN</t>
  </si>
  <si>
    <t>Singapur</t>
  </si>
  <si>
    <t>SGP</t>
  </si>
  <si>
    <t>ID 22</t>
  </si>
  <si>
    <t>sgp_electronic_arrival_card</t>
  </si>
  <si>
    <t>SG Arrival Card</t>
  </si>
  <si>
    <t>https://visagov.atlassian.net/browse/PRO-497</t>
  </si>
  <si>
    <t>Islas Georgias del Sur</t>
  </si>
  <si>
    <t>SGS</t>
  </si>
  <si>
    <t>Santa Elena</t>
  </si>
  <si>
    <t>SHN</t>
  </si>
  <si>
    <t>Svalbard y Jan Mayen</t>
  </si>
  <si>
    <t>SJM</t>
  </si>
  <si>
    <t>Islas Salomón</t>
  </si>
  <si>
    <t>SLB</t>
  </si>
  <si>
    <t>Sierra Leona</t>
  </si>
  <si>
    <t>SLE</t>
  </si>
  <si>
    <t>ID 50</t>
  </si>
  <si>
    <t>sle_multiple_entry_evisa</t>
  </si>
  <si>
    <t>https://visagov.atlassian.net/browse/VIS-413</t>
  </si>
  <si>
    <t>sle_single_entry_evisa</t>
  </si>
  <si>
    <t>El Salvador</t>
  </si>
  <si>
    <t>SLV</t>
  </si>
  <si>
    <t>San Marino</t>
  </si>
  <si>
    <t>SMR</t>
  </si>
  <si>
    <t>Somalia</t>
  </si>
  <si>
    <t>SOM</t>
  </si>
  <si>
    <t>San Pedro y Miquelón</t>
  </si>
  <si>
    <t>SPM</t>
  </si>
  <si>
    <t>Serbia</t>
  </si>
  <si>
    <t>SRB</t>
  </si>
  <si>
    <t>Sudán del Sur</t>
  </si>
  <si>
    <t>SSD</t>
  </si>
  <si>
    <t>Santo Tomé y Príncipe</t>
  </si>
  <si>
    <t>STP</t>
  </si>
  <si>
    <t>Surinam</t>
  </si>
  <si>
    <t>SUR</t>
  </si>
  <si>
    <t>Eslovaquia</t>
  </si>
  <si>
    <t>SVK</t>
  </si>
  <si>
    <t>Eslovenia</t>
  </si>
  <si>
    <t>SVN</t>
  </si>
  <si>
    <t>Suecia</t>
  </si>
  <si>
    <t>SWE</t>
  </si>
  <si>
    <t>Esuatini</t>
  </si>
  <si>
    <t>SWZ</t>
  </si>
  <si>
    <t>San Martín</t>
  </si>
  <si>
    <t>SXM</t>
  </si>
  <si>
    <t>Seychelles</t>
  </si>
  <si>
    <t>SYC</t>
  </si>
  <si>
    <t>Siria</t>
  </si>
  <si>
    <t>SYR</t>
  </si>
  <si>
    <t>Islas Turcas y Caicos</t>
  </si>
  <si>
    <t>TCA</t>
  </si>
  <si>
    <t>Chad</t>
  </si>
  <si>
    <t>TCD</t>
  </si>
  <si>
    <t>Togo</t>
  </si>
  <si>
    <t>TGO</t>
  </si>
  <si>
    <t>Tailandia</t>
  </si>
  <si>
    <t>THA</t>
  </si>
  <si>
    <t>ID 46</t>
  </si>
  <si>
    <t>tha_volunteer</t>
  </si>
  <si>
    <t>tha_business_multiple</t>
  </si>
  <si>
    <t>https://visagov.atlassian.net/browse/PRO-177</t>
  </si>
  <si>
    <t>tha_business_single</t>
  </si>
  <si>
    <t>tha_tourist_multiple</t>
  </si>
  <si>
    <t>tha_tourist_single</t>
  </si>
  <si>
    <t>tha_transit_single</t>
  </si>
  <si>
    <t>Tayikistán</t>
  </si>
  <si>
    <t>TJK</t>
  </si>
  <si>
    <t>ID 41</t>
  </si>
  <si>
    <t>tjk_multiple</t>
  </si>
  <si>
    <t>tjk_multiple-gbao</t>
  </si>
  <si>
    <t>tjk_single</t>
  </si>
  <si>
    <t>tjk_single-gbao</t>
  </si>
  <si>
    <t>Tokelau</t>
  </si>
  <si>
    <t>TKL</t>
  </si>
  <si>
    <t>Turkmenistán</t>
  </si>
  <si>
    <t>TKM</t>
  </si>
  <si>
    <t>Timor Oriental</t>
  </si>
  <si>
    <t>TLS</t>
  </si>
  <si>
    <t>Tonga</t>
  </si>
  <si>
    <t>TON</t>
  </si>
  <si>
    <t>Trinidad y Tobago</t>
  </si>
  <si>
    <t>TTO</t>
  </si>
  <si>
    <t>Túnez</t>
  </si>
  <si>
    <t>TUN</t>
  </si>
  <si>
    <t>Turquía</t>
  </si>
  <si>
    <t>TUR</t>
  </si>
  <si>
    <t>ID 15</t>
  </si>
  <si>
    <t>tur_tourist</t>
  </si>
  <si>
    <t>https://visagov.atlassian.net/browse/PRO-1091</t>
  </si>
  <si>
    <t>tur_tourist_urgent</t>
  </si>
  <si>
    <t>Tuvalu</t>
  </si>
  <si>
    <t>TUV</t>
  </si>
  <si>
    <t>Taiwán</t>
  </si>
  <si>
    <t>TWN</t>
  </si>
  <si>
    <t>Tanzania</t>
  </si>
  <si>
    <t>TZA</t>
  </si>
  <si>
    <t>ID 42</t>
  </si>
  <si>
    <t>tza_transit</t>
  </si>
  <si>
    <t>tza_multiple</t>
  </si>
  <si>
    <t>https://visagov.atlassian.net/browse/PRO-457</t>
  </si>
  <si>
    <t>tza_ordinary</t>
  </si>
  <si>
    <t>https://visagov.atlassian.net/browse/PRO-960</t>
  </si>
  <si>
    <t>Uganda</t>
  </si>
  <si>
    <t>UGA</t>
  </si>
  <si>
    <t>ID 16</t>
  </si>
  <si>
    <t>uga_east-african</t>
  </si>
  <si>
    <t>https://visagov.atlassian.net/browse/PRO-1067</t>
  </si>
  <si>
    <t>uga_multiple-1</t>
  </si>
  <si>
    <t>uga_multiple-12</t>
  </si>
  <si>
    <t>uga_tourism</t>
  </si>
  <si>
    <t>uga_transit</t>
  </si>
  <si>
    <t>Ucrania</t>
  </si>
  <si>
    <t>UKR</t>
  </si>
  <si>
    <t>Islas Menores Alejadas de EE.UU.</t>
  </si>
  <si>
    <t>UMI</t>
  </si>
  <si>
    <t>Uruguay</t>
  </si>
  <si>
    <t>URY</t>
  </si>
  <si>
    <t>Estados Unidos</t>
  </si>
  <si>
    <t>USA</t>
  </si>
  <si>
    <t>ID 17</t>
  </si>
  <si>
    <t>usa_transit</t>
  </si>
  <si>
    <t>ESTA - B1/B2</t>
  </si>
  <si>
    <t>usa_transit_urgent</t>
  </si>
  <si>
    <t>usa_b1_b2_visitor_visa</t>
  </si>
  <si>
    <t>https://visagov.atlassian.net/browse/PM-1</t>
  </si>
  <si>
    <t>usa_simple</t>
  </si>
  <si>
    <t>https://visagov.atlassian.net/browse/PRO-1012</t>
  </si>
  <si>
    <t>usa_simple_urgent</t>
  </si>
  <si>
    <t>Uzbekistán</t>
  </si>
  <si>
    <t>UZB</t>
  </si>
  <si>
    <t>Ciudad del Vaticano</t>
  </si>
  <si>
    <t>VAT</t>
  </si>
  <si>
    <t>San Vicente</t>
  </si>
  <si>
    <t>VCT</t>
  </si>
  <si>
    <t>Venezuela</t>
  </si>
  <si>
    <t>VEN</t>
  </si>
  <si>
    <t>Islas Vírgenes Británicas</t>
  </si>
  <si>
    <t>VGB</t>
  </si>
  <si>
    <t>Islas Vírgenes de EE.UU.</t>
  </si>
  <si>
    <t>VIR</t>
  </si>
  <si>
    <t>Vietnam</t>
  </si>
  <si>
    <t>VNM</t>
  </si>
  <si>
    <t>ID 18</t>
  </si>
  <si>
    <t>vnm_multiple</t>
  </si>
  <si>
    <t>vnm_simple</t>
  </si>
  <si>
    <t>vnm_evisa_multi</t>
  </si>
  <si>
    <t>https://visagov.atlassian.net/browse/PRO-1093</t>
  </si>
  <si>
    <t>vnm_evisa_single</t>
  </si>
  <si>
    <t>Vanuatu</t>
  </si>
  <si>
    <t>VUT</t>
  </si>
  <si>
    <t>Wallis y Futuna</t>
  </si>
  <si>
    <t>WLF</t>
  </si>
  <si>
    <t>Samoa</t>
  </si>
  <si>
    <t>WSM</t>
  </si>
  <si>
    <t>Kosovo</t>
  </si>
  <si>
    <t>XKX</t>
  </si>
  <si>
    <t>Yemen</t>
  </si>
  <si>
    <t>YEM</t>
  </si>
  <si>
    <t>Sudáfrica</t>
  </si>
  <si>
    <t>ZAF</t>
  </si>
  <si>
    <t>Zambia</t>
  </si>
  <si>
    <t>ZMB</t>
  </si>
  <si>
    <t>ID 23</t>
  </si>
  <si>
    <t>zmb_business_double</t>
  </si>
  <si>
    <t>zmb_business_multiple</t>
  </si>
  <si>
    <t>zmb_business_single</t>
  </si>
  <si>
    <t>zmb_kaza</t>
  </si>
  <si>
    <t>https://visagov.atlassian.net/browse/PRO-342</t>
  </si>
  <si>
    <t>zmb_tourist_double</t>
  </si>
  <si>
    <t>zmb_tourist_multiple</t>
  </si>
  <si>
    <t>zmb_tourist_single</t>
  </si>
  <si>
    <t>zmb_transit</t>
  </si>
  <si>
    <t>Zimbabue</t>
  </si>
  <si>
    <t>ZWE</t>
  </si>
  <si>
    <t>ID 24</t>
  </si>
  <si>
    <t>zwe_double</t>
  </si>
  <si>
    <t>https://visagov.atlassian.net/browse/PRO-1010</t>
  </si>
  <si>
    <t>zwe_kaza</t>
  </si>
  <si>
    <t>https://visagov.atlassian.net/browse/PRO-696</t>
  </si>
  <si>
    <t>zwe_tourist_double</t>
  </si>
  <si>
    <t>zwe_tourist_kaza</t>
  </si>
  <si>
    <t>zwe_tourist_single</t>
  </si>
  <si>
    <t>zwe_transit_double</t>
  </si>
  <si>
    <t>zwe_transit_single</t>
  </si>
  <si>
    <t>zwe_multiple</t>
  </si>
  <si>
    <t>zwe_single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</si>
</sst>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4" borderId="1" xfId="1" applyFont="1" applyFill="1" applyBorder="1" applyAlignment="1" applyProtection="1">
      <alignment vertical="center"/>
    </xf>
    <xf numFmtId="0" fontId="3" fillId="0" borderId="1" xfId="1" applyFont="1" applyBorder="1" applyAlignment="1" applyProtection="1">
      <alignment vertical="center"/>
    </xf>
    <xf numFmtId="164" fontId="3" fillId="0" borderId="1" xfId="0" applyNumberFormat="1" applyFont="1" applyBorder="1" applyAlignment="1">
      <alignment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visagov.atlassian.net/browse/PRO-293" TargetMode="External"/><Relationship Id="rId21" Type="http://schemas.openxmlformats.org/officeDocument/2006/relationships/hyperlink" Target="https://visagov.atlassian.net/browse/PRO-358" TargetMode="External"/><Relationship Id="rId42" Type="http://schemas.openxmlformats.org/officeDocument/2006/relationships/hyperlink" Target="https://visagov.atlassian.net/browse/PRO-494" TargetMode="External"/><Relationship Id="rId47" Type="http://schemas.openxmlformats.org/officeDocument/2006/relationships/hyperlink" Target="https://visagov.atlassian.net/browse/PRO-177" TargetMode="External"/><Relationship Id="rId63" Type="http://schemas.openxmlformats.org/officeDocument/2006/relationships/hyperlink" Target="https://visagov.atlassian.net/browse/PRO-357" TargetMode="External"/><Relationship Id="rId68" Type="http://schemas.openxmlformats.org/officeDocument/2006/relationships/hyperlink" Target="https://visagov.atlassian.net/browse/PRO-1003" TargetMode="External"/><Relationship Id="rId84" Type="http://schemas.openxmlformats.org/officeDocument/2006/relationships/hyperlink" Target="https://visagov.atlassian.net/browse/PRO-420" TargetMode="External"/><Relationship Id="rId89" Type="http://schemas.openxmlformats.org/officeDocument/2006/relationships/hyperlink" Target="https://visagov.atlassian.net/browse/VIS-1213" TargetMode="External"/><Relationship Id="rId16" Type="http://schemas.openxmlformats.org/officeDocument/2006/relationships/hyperlink" Target="https://visagov.atlassian.net/browse/PRO-915" TargetMode="External"/><Relationship Id="rId11" Type="http://schemas.openxmlformats.org/officeDocument/2006/relationships/hyperlink" Target="https://visagov.atlassian.net/browse/PRO-1093" TargetMode="External"/><Relationship Id="rId32" Type="http://schemas.openxmlformats.org/officeDocument/2006/relationships/hyperlink" Target="https://visagov.atlassian.net/browse/PRO-1047" TargetMode="External"/><Relationship Id="rId37" Type="http://schemas.openxmlformats.org/officeDocument/2006/relationships/hyperlink" Target="https://visagov.atlassian.net/browse/PRO-914" TargetMode="External"/><Relationship Id="rId53" Type="http://schemas.openxmlformats.org/officeDocument/2006/relationships/hyperlink" Target="https://visagov.atlassian.net/browse/PRO-957" TargetMode="External"/><Relationship Id="rId58" Type="http://schemas.openxmlformats.org/officeDocument/2006/relationships/hyperlink" Target="https://visagov.atlassian.net/browse/PRO-500" TargetMode="External"/><Relationship Id="rId74" Type="http://schemas.openxmlformats.org/officeDocument/2006/relationships/hyperlink" Target="https://visagov.atlassian.net/browse/PRO-609" TargetMode="External"/><Relationship Id="rId79" Type="http://schemas.openxmlformats.org/officeDocument/2006/relationships/hyperlink" Target="https://visagov.atlassian.net/browse/PRO-342" TargetMode="External"/><Relationship Id="rId102" Type="http://schemas.openxmlformats.org/officeDocument/2006/relationships/hyperlink" Target="https://visagov.atlassian.net/browse/VIS-413" TargetMode="External"/><Relationship Id="rId5" Type="http://schemas.openxmlformats.org/officeDocument/2006/relationships/hyperlink" Target="https://visagov.atlassian.net/browse/PRO-1067" TargetMode="External"/><Relationship Id="rId90" Type="http://schemas.openxmlformats.org/officeDocument/2006/relationships/hyperlink" Target="https://visagov.atlassian.net/browse/PRO-419" TargetMode="External"/><Relationship Id="rId95" Type="http://schemas.openxmlformats.org/officeDocument/2006/relationships/hyperlink" Target="https://visagov.atlassian.net/browse/PRO-923" TargetMode="External"/><Relationship Id="rId22" Type="http://schemas.openxmlformats.org/officeDocument/2006/relationships/hyperlink" Target="https://visagov.atlassian.net/browse/VIS-905" TargetMode="External"/><Relationship Id="rId27" Type="http://schemas.openxmlformats.org/officeDocument/2006/relationships/hyperlink" Target="https://visagov.atlassian.net/browse/PRO-578" TargetMode="External"/><Relationship Id="rId43" Type="http://schemas.openxmlformats.org/officeDocument/2006/relationships/hyperlink" Target="https://visagov.atlassian.net/browse/PRO-349" TargetMode="External"/><Relationship Id="rId48" Type="http://schemas.openxmlformats.org/officeDocument/2006/relationships/hyperlink" Target="https://visagov.atlassian.net/browse/PRO-177" TargetMode="External"/><Relationship Id="rId64" Type="http://schemas.openxmlformats.org/officeDocument/2006/relationships/hyperlink" Target="https://visagov.atlassian.net/browse/PRO-357" TargetMode="External"/><Relationship Id="rId69" Type="http://schemas.openxmlformats.org/officeDocument/2006/relationships/hyperlink" Target="https://visagov.atlassian.net/browse/PRO-1040" TargetMode="External"/><Relationship Id="rId80" Type="http://schemas.openxmlformats.org/officeDocument/2006/relationships/hyperlink" Target="https://visagov.atlassian.net/browse/PRO-342" TargetMode="External"/><Relationship Id="rId85" Type="http://schemas.openxmlformats.org/officeDocument/2006/relationships/hyperlink" Target="https://visagov.atlassian.net/browse/PRO-420" TargetMode="External"/><Relationship Id="rId12" Type="http://schemas.openxmlformats.org/officeDocument/2006/relationships/hyperlink" Target="https://visagov.atlassian.net/browse/PRO-1093" TargetMode="External"/><Relationship Id="rId17" Type="http://schemas.openxmlformats.org/officeDocument/2006/relationships/hyperlink" Target="https://visagov.atlassian.net/browse/PRO-348" TargetMode="External"/><Relationship Id="rId25" Type="http://schemas.openxmlformats.org/officeDocument/2006/relationships/hyperlink" Target="https://visagov.atlassian.net/browse/PRO-913" TargetMode="External"/><Relationship Id="rId33" Type="http://schemas.openxmlformats.org/officeDocument/2006/relationships/hyperlink" Target="https://visagov.atlassian.net/browse/PRO-344" TargetMode="External"/><Relationship Id="rId38" Type="http://schemas.openxmlformats.org/officeDocument/2006/relationships/hyperlink" Target="https://visagov.atlassian.net/browse/PRO-914" TargetMode="External"/><Relationship Id="rId46" Type="http://schemas.openxmlformats.org/officeDocument/2006/relationships/hyperlink" Target="https://visagov.atlassian.net/browse/PRO-177" TargetMode="External"/><Relationship Id="rId59" Type="http://schemas.openxmlformats.org/officeDocument/2006/relationships/hyperlink" Target="https://visagov.atlassian.net/browse/PRO-500" TargetMode="External"/><Relationship Id="rId67" Type="http://schemas.openxmlformats.org/officeDocument/2006/relationships/hyperlink" Target="https://visagov.atlassian.net/browse/PRO-357" TargetMode="External"/><Relationship Id="rId103" Type="http://schemas.openxmlformats.org/officeDocument/2006/relationships/hyperlink" Target="https://visagov.atlassian.net/browse/PRO-421" TargetMode="External"/><Relationship Id="rId20" Type="http://schemas.openxmlformats.org/officeDocument/2006/relationships/hyperlink" Target="https://visagov.atlassian.net/browse/PRO-348" TargetMode="External"/><Relationship Id="rId41" Type="http://schemas.openxmlformats.org/officeDocument/2006/relationships/hyperlink" Target="https://visagov.atlassian.net/browse/PRO-494" TargetMode="External"/><Relationship Id="rId54" Type="http://schemas.openxmlformats.org/officeDocument/2006/relationships/hyperlink" Target="https://visagov.atlassian.net/browse/PRO-497" TargetMode="External"/><Relationship Id="rId62" Type="http://schemas.openxmlformats.org/officeDocument/2006/relationships/hyperlink" Target="https://visagov.atlassian.net/browse/PRO-154" TargetMode="External"/><Relationship Id="rId70" Type="http://schemas.openxmlformats.org/officeDocument/2006/relationships/hyperlink" Target="https://visagov.atlassian.net/browse/PRO-496" TargetMode="External"/><Relationship Id="rId75" Type="http://schemas.openxmlformats.org/officeDocument/2006/relationships/hyperlink" Target="https://visagov.atlassian.net/browse/PRO-609" TargetMode="External"/><Relationship Id="rId83" Type="http://schemas.openxmlformats.org/officeDocument/2006/relationships/hyperlink" Target="https://visagov.atlassian.net/browse/PRO-342" TargetMode="External"/><Relationship Id="rId88" Type="http://schemas.openxmlformats.org/officeDocument/2006/relationships/hyperlink" Target="https://visagov.atlassian.net/browse/PRO-833" TargetMode="External"/><Relationship Id="rId91" Type="http://schemas.openxmlformats.org/officeDocument/2006/relationships/hyperlink" Target="https://visagov.atlassian.net/browse/PRO-1035" TargetMode="External"/><Relationship Id="rId96" Type="http://schemas.openxmlformats.org/officeDocument/2006/relationships/hyperlink" Target="https://visagov.atlassian.net/browse/PRO-1010" TargetMode="External"/><Relationship Id="rId1" Type="http://schemas.openxmlformats.org/officeDocument/2006/relationships/hyperlink" Target="https://visagov.atlassian.net/browse/PRO-457" TargetMode="External"/><Relationship Id="rId6" Type="http://schemas.openxmlformats.org/officeDocument/2006/relationships/hyperlink" Target="https://visagov.atlassian.net/browse/PRO-1067" TargetMode="External"/><Relationship Id="rId15" Type="http://schemas.openxmlformats.org/officeDocument/2006/relationships/hyperlink" Target="https://visagov.atlassian.net/browse/VIS-966" TargetMode="External"/><Relationship Id="rId23" Type="http://schemas.openxmlformats.org/officeDocument/2006/relationships/hyperlink" Target="https://visagov.atlassian.net/browse/VIS-905" TargetMode="External"/><Relationship Id="rId28" Type="http://schemas.openxmlformats.org/officeDocument/2006/relationships/hyperlink" Target="https://visagov.atlassian.net/browse/PRO-578" TargetMode="External"/><Relationship Id="rId36" Type="http://schemas.openxmlformats.org/officeDocument/2006/relationships/hyperlink" Target="https://visagov.atlassian.net/browse/PRO-914" TargetMode="External"/><Relationship Id="rId49" Type="http://schemas.openxmlformats.org/officeDocument/2006/relationships/hyperlink" Target="https://visagov.atlassian.net/browse/PRO-177" TargetMode="External"/><Relationship Id="rId57" Type="http://schemas.openxmlformats.org/officeDocument/2006/relationships/hyperlink" Target="https://visagov.atlassian.net/browse/PRO-424" TargetMode="External"/><Relationship Id="rId10" Type="http://schemas.openxmlformats.org/officeDocument/2006/relationships/hyperlink" Target="https://visagov.atlassian.net/browse/PRO-913" TargetMode="External"/><Relationship Id="rId31" Type="http://schemas.openxmlformats.org/officeDocument/2006/relationships/hyperlink" Target="https://visagov.atlassian.net/browse/PRO-1047" TargetMode="External"/><Relationship Id="rId44" Type="http://schemas.openxmlformats.org/officeDocument/2006/relationships/hyperlink" Target="https://visagov.atlassian.net/browse/PRO-349" TargetMode="External"/><Relationship Id="rId52" Type="http://schemas.openxmlformats.org/officeDocument/2006/relationships/hyperlink" Target="https://visagov.atlassian.net/browse/PRO-1091" TargetMode="External"/><Relationship Id="rId60" Type="http://schemas.openxmlformats.org/officeDocument/2006/relationships/hyperlink" Target="https://visagov.atlassian.net/browse/PRO-500" TargetMode="External"/><Relationship Id="rId65" Type="http://schemas.openxmlformats.org/officeDocument/2006/relationships/hyperlink" Target="https://visagov.atlassian.net/browse/PRO-357" TargetMode="External"/><Relationship Id="rId73" Type="http://schemas.openxmlformats.org/officeDocument/2006/relationships/hyperlink" Target="https://visagov.atlassian.net/browse/PRO-71" TargetMode="External"/><Relationship Id="rId78" Type="http://schemas.openxmlformats.org/officeDocument/2006/relationships/hyperlink" Target="https://visagov.atlassian.net/browse/PRO-331" TargetMode="External"/><Relationship Id="rId81" Type="http://schemas.openxmlformats.org/officeDocument/2006/relationships/hyperlink" Target="https://visagov.atlassian.net/browse/PRO-342" TargetMode="External"/><Relationship Id="rId86" Type="http://schemas.openxmlformats.org/officeDocument/2006/relationships/hyperlink" Target="https://visagov.atlassian.net/browse/PRO-420" TargetMode="External"/><Relationship Id="rId94" Type="http://schemas.openxmlformats.org/officeDocument/2006/relationships/hyperlink" Target="https://visagov.atlassian.net/browse/PRO-923" TargetMode="External"/><Relationship Id="rId99" Type="http://schemas.openxmlformats.org/officeDocument/2006/relationships/hyperlink" Target="https://visagov.atlassian.net/browse/PRO-696" TargetMode="External"/><Relationship Id="rId101" Type="http://schemas.openxmlformats.org/officeDocument/2006/relationships/hyperlink" Target="https://visagov.atlassian.net/browse/VIS-413" TargetMode="External"/><Relationship Id="rId4" Type="http://schemas.openxmlformats.org/officeDocument/2006/relationships/hyperlink" Target="https://visagov.atlassian.net/browse/PRO-1067" TargetMode="External"/><Relationship Id="rId9" Type="http://schemas.openxmlformats.org/officeDocument/2006/relationships/hyperlink" Target="https://visagov.atlassian.net/browse/PRO-1012" TargetMode="External"/><Relationship Id="rId13" Type="http://schemas.openxmlformats.org/officeDocument/2006/relationships/hyperlink" Target="https://visagov.atlassian.net/browse/PRO-499" TargetMode="External"/><Relationship Id="rId18" Type="http://schemas.openxmlformats.org/officeDocument/2006/relationships/hyperlink" Target="https://visagov.atlassian.net/browse/PRO-348" TargetMode="External"/><Relationship Id="rId39" Type="http://schemas.openxmlformats.org/officeDocument/2006/relationships/hyperlink" Target="https://visagov.atlassian.net/browse/PRO-1060" TargetMode="External"/><Relationship Id="rId34" Type="http://schemas.openxmlformats.org/officeDocument/2006/relationships/hyperlink" Target="https://visagov.atlassian.net/browse/PRO-914" TargetMode="External"/><Relationship Id="rId50" Type="http://schemas.openxmlformats.org/officeDocument/2006/relationships/hyperlink" Target="https://visagov.atlassian.net/browse/PRO-177" TargetMode="External"/><Relationship Id="rId55" Type="http://schemas.openxmlformats.org/officeDocument/2006/relationships/hyperlink" Target="https://visagov.atlassian.net/browse/PRO-845" TargetMode="External"/><Relationship Id="rId76" Type="http://schemas.openxmlformats.org/officeDocument/2006/relationships/hyperlink" Target="https://visagov.atlassian.net/browse/PRO-72" TargetMode="External"/><Relationship Id="rId97" Type="http://schemas.openxmlformats.org/officeDocument/2006/relationships/hyperlink" Target="https://visagov.atlassian.net/browse/PRO-696" TargetMode="External"/><Relationship Id="rId7" Type="http://schemas.openxmlformats.org/officeDocument/2006/relationships/hyperlink" Target="https://visagov.atlassian.net/browse/PRO-1067" TargetMode="External"/><Relationship Id="rId71" Type="http://schemas.openxmlformats.org/officeDocument/2006/relationships/hyperlink" Target="https://visagov.atlassian.net/browse/PRO-496" TargetMode="External"/><Relationship Id="rId92" Type="http://schemas.openxmlformats.org/officeDocument/2006/relationships/hyperlink" Target="https://visagov.atlassian.net/browse/PRO-422" TargetMode="External"/><Relationship Id="rId2" Type="http://schemas.openxmlformats.org/officeDocument/2006/relationships/hyperlink" Target="https://visagov.atlassian.net/browse/PRO-960" TargetMode="External"/><Relationship Id="rId29" Type="http://schemas.openxmlformats.org/officeDocument/2006/relationships/hyperlink" Target="https://visagov.atlassian.net/browse/PRO-1050" TargetMode="External"/><Relationship Id="rId24" Type="http://schemas.openxmlformats.org/officeDocument/2006/relationships/hyperlink" Target="https://visagov.atlassian.net/browse/PRO-913" TargetMode="External"/><Relationship Id="rId40" Type="http://schemas.openxmlformats.org/officeDocument/2006/relationships/hyperlink" Target="https://visagov.atlassian.net/browse/PRO-914" TargetMode="External"/><Relationship Id="rId45" Type="http://schemas.openxmlformats.org/officeDocument/2006/relationships/hyperlink" Target="https://visagov.atlassian.net/browse/PRO-349" TargetMode="External"/><Relationship Id="rId66" Type="http://schemas.openxmlformats.org/officeDocument/2006/relationships/hyperlink" Target="https://visagov.atlassian.net/browse/PRO-357" TargetMode="External"/><Relationship Id="rId87" Type="http://schemas.openxmlformats.org/officeDocument/2006/relationships/hyperlink" Target="https://visagov.atlassian.net/browse/PRO-1072" TargetMode="External"/><Relationship Id="rId61" Type="http://schemas.openxmlformats.org/officeDocument/2006/relationships/hyperlink" Target="https://visagov.atlassian.net/browse/PRO-154" TargetMode="External"/><Relationship Id="rId82" Type="http://schemas.openxmlformats.org/officeDocument/2006/relationships/hyperlink" Target="https://visagov.atlassian.net/browse/PRO-342" TargetMode="External"/><Relationship Id="rId19" Type="http://schemas.openxmlformats.org/officeDocument/2006/relationships/hyperlink" Target="https://visagov.atlassian.net/browse/PRO-348" TargetMode="External"/><Relationship Id="rId14" Type="http://schemas.openxmlformats.org/officeDocument/2006/relationships/hyperlink" Target="https://visagov.atlassian.net/browse/PRO-499" TargetMode="External"/><Relationship Id="rId30" Type="http://schemas.openxmlformats.org/officeDocument/2006/relationships/hyperlink" Target="https://visagov.atlassian.net/browse/PRO-217" TargetMode="External"/><Relationship Id="rId35" Type="http://schemas.openxmlformats.org/officeDocument/2006/relationships/hyperlink" Target="https://visagov.atlassian.net/browse/PRO-914" TargetMode="External"/><Relationship Id="rId56" Type="http://schemas.openxmlformats.org/officeDocument/2006/relationships/hyperlink" Target="https://visagov.atlassian.net/browse/PRO-347" TargetMode="External"/><Relationship Id="rId77" Type="http://schemas.openxmlformats.org/officeDocument/2006/relationships/hyperlink" Target="https://visagov.atlassian.net/browse/PRO-954" TargetMode="External"/><Relationship Id="rId100" Type="http://schemas.openxmlformats.org/officeDocument/2006/relationships/hyperlink" Target="https://visagov.atlassian.net/browse/PRO-1070" TargetMode="External"/><Relationship Id="rId8" Type="http://schemas.openxmlformats.org/officeDocument/2006/relationships/hyperlink" Target="https://visagov.atlassian.net/browse/PM-1" TargetMode="External"/><Relationship Id="rId51" Type="http://schemas.openxmlformats.org/officeDocument/2006/relationships/hyperlink" Target="https://visagov.atlassian.net/browse/PRO-1091" TargetMode="External"/><Relationship Id="rId72" Type="http://schemas.openxmlformats.org/officeDocument/2006/relationships/hyperlink" Target="https://visagov.atlassian.net/browse/PRO-496" TargetMode="External"/><Relationship Id="rId93" Type="http://schemas.openxmlformats.org/officeDocument/2006/relationships/hyperlink" Target="https://visagov.atlassian.net/browse/PRO-923" TargetMode="External"/><Relationship Id="rId98" Type="http://schemas.openxmlformats.org/officeDocument/2006/relationships/hyperlink" Target="https://visagov.atlassian.net/browse/PRO-696" TargetMode="External"/><Relationship Id="rId3" Type="http://schemas.openxmlformats.org/officeDocument/2006/relationships/hyperlink" Target="https://visagov.atlassian.net/browse/PRO-10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58"/>
  <sheetViews>
    <sheetView tabSelected="1" workbookViewId="0">
      <pane ySplit="1" topLeftCell="A4" activePane="bottomLeft" state="frozen"/>
      <selection pane="bottomLeft" activeCell="W58" sqref="W58"/>
    </sheetView>
  </sheetViews>
  <sheetFormatPr baseColWidth="10" defaultColWidth="9.140625" defaultRowHeight="15" x14ac:dyDescent="0.25"/>
  <cols>
    <col min="1" max="1" width="30" customWidth="1"/>
    <col min="2" max="2" width="6" customWidth="1"/>
    <col min="3" max="3" width="11" customWidth="1"/>
    <col min="4" max="4" width="13" customWidth="1"/>
    <col min="5" max="5" width="17" customWidth="1"/>
    <col min="6" max="6" width="29" customWidth="1"/>
    <col min="7" max="7" width="17" customWidth="1"/>
    <col min="8" max="8" width="30" customWidth="1"/>
    <col min="9" max="9" width="13" customWidth="1"/>
    <col min="10" max="10" width="18" customWidth="1"/>
    <col min="11" max="12" width="16" customWidth="1"/>
    <col min="13" max="13" width="21" customWidth="1"/>
    <col min="14" max="14" width="28" customWidth="1"/>
    <col min="15" max="15" width="20" customWidth="1"/>
    <col min="16" max="16" width="11" customWidth="1"/>
    <col min="17" max="18" width="30" style="11" customWidth="1"/>
    <col min="19" max="20" width="18" customWidth="1"/>
    <col min="21" max="21" width="15" customWidth="1"/>
    <col min="22" max="22" width="19" customWidth="1"/>
  </cols>
  <sheetData>
    <row r="1" spans="1:22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8" t="s">
        <v>16</v>
      </c>
      <c r="R1" s="8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idden="1" x14ac:dyDescent="0.25">
      <c r="A2" s="3" t="s">
        <v>22</v>
      </c>
      <c r="B2" s="4" t="s">
        <v>23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idden="1" x14ac:dyDescent="0.25">
      <c r="A3" s="4" t="s">
        <v>24</v>
      </c>
      <c r="B3" s="4" t="s">
        <v>25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25">
      <c r="A4" s="3" t="s">
        <v>26</v>
      </c>
      <c r="B4" s="3" t="s">
        <v>27</v>
      </c>
      <c r="C4" s="3" t="s">
        <v>28</v>
      </c>
      <c r="D4" s="3" t="s">
        <v>29</v>
      </c>
      <c r="E4" s="3" t="s">
        <v>29</v>
      </c>
      <c r="F4" s="3" t="s">
        <v>30</v>
      </c>
      <c r="G4" s="3" t="s">
        <v>31</v>
      </c>
      <c r="H4" s="5" t="s">
        <v>32</v>
      </c>
      <c r="I4" s="3">
        <v>105</v>
      </c>
      <c r="J4" s="3">
        <v>0.5</v>
      </c>
      <c r="K4" s="3">
        <v>21</v>
      </c>
      <c r="L4" s="3">
        <v>8</v>
      </c>
      <c r="M4" s="3">
        <v>1</v>
      </c>
      <c r="N4" s="3">
        <v>1</v>
      </c>
      <c r="O4" s="3">
        <v>1</v>
      </c>
      <c r="P4" s="3">
        <f>(IF(I4=0, 0, IF(I4&lt;=100, 1, IF(I4&lt;=1000, 3, IF(I4&lt;=10000, 6, 10)))) * (1 + J4)) * ((1 + IF(K4&lt;=20, 1, IF(K4&lt;=40, 3, 5)) + IF(L4&lt;=4, 2, IF(L4&lt;=6, 4, 6)) + M4*5) * (N4*O4))</f>
        <v>67.5</v>
      </c>
      <c r="Q4" s="9"/>
      <c r="R4" s="9">
        <v>45790</v>
      </c>
      <c r="S4" s="3">
        <f ca="1">(IF(R4="", 730, TODAY()-R4) * 1) + (IF(OR(Q4="", R4&gt;Q4), IF(R4="", 730, TODAY()-R4), TODAY()-Q4) * 0.3)</f>
        <v>494</v>
      </c>
      <c r="T4" s="3">
        <f>SUMIF(A:A, A4, P:P)</f>
        <v>67.5</v>
      </c>
      <c r="U4" s="3">
        <v>1</v>
      </c>
      <c r="V4" s="3">
        <f ca="1">T4 * (1 +LOG10(U4)) * (1 + (S4 / 90))</f>
        <v>438</v>
      </c>
    </row>
    <row r="5" spans="1:22" hidden="1" x14ac:dyDescent="0.25">
      <c r="A5" s="4" t="s">
        <v>33</v>
      </c>
      <c r="B5" s="4" t="s">
        <v>34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idden="1" x14ac:dyDescent="0.25">
      <c r="A6" s="3" t="s">
        <v>35</v>
      </c>
      <c r="B6" s="4" t="s">
        <v>36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idden="1" x14ac:dyDescent="0.25">
      <c r="A7" s="4" t="s">
        <v>37</v>
      </c>
      <c r="B7" s="4" t="s">
        <v>38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idden="1" x14ac:dyDescent="0.25">
      <c r="A8" s="3" t="s">
        <v>39</v>
      </c>
      <c r="B8" s="3" t="s">
        <v>40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idden="1" x14ac:dyDescent="0.25">
      <c r="A9" s="4" t="s">
        <v>41</v>
      </c>
      <c r="B9" s="3" t="s">
        <v>42</v>
      </c>
      <c r="C9" s="3" t="s">
        <v>43</v>
      </c>
      <c r="D9" s="3" t="s">
        <v>44</v>
      </c>
      <c r="E9" s="3" t="s">
        <v>44</v>
      </c>
      <c r="F9" s="3" t="s">
        <v>45</v>
      </c>
      <c r="G9" s="3" t="s">
        <v>46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idden="1" x14ac:dyDescent="0.25">
      <c r="A10" s="3" t="s">
        <v>41</v>
      </c>
      <c r="B10" s="4" t="s">
        <v>42</v>
      </c>
      <c r="C10" s="4" t="s">
        <v>43</v>
      </c>
      <c r="D10" s="4" t="s">
        <v>44</v>
      </c>
      <c r="E10" s="4" t="s">
        <v>44</v>
      </c>
      <c r="F10" s="4" t="s">
        <v>47</v>
      </c>
      <c r="G10" s="4" t="s">
        <v>46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idden="1" x14ac:dyDescent="0.25">
      <c r="A11" s="4" t="s">
        <v>41</v>
      </c>
      <c r="B11" s="3" t="s">
        <v>42</v>
      </c>
      <c r="C11" s="3" t="s">
        <v>43</v>
      </c>
      <c r="D11" s="3" t="s">
        <v>44</v>
      </c>
      <c r="E11" s="3" t="s">
        <v>44</v>
      </c>
      <c r="F11" s="3" t="s">
        <v>48</v>
      </c>
      <c r="G11" s="3" t="s">
        <v>46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idden="1" x14ac:dyDescent="0.25">
      <c r="A12" s="3" t="s">
        <v>49</v>
      </c>
      <c r="B12" s="4" t="s">
        <v>50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A13" s="4" t="s">
        <v>51</v>
      </c>
      <c r="B13" s="4" t="s">
        <v>52</v>
      </c>
      <c r="C13" s="4" t="s">
        <v>53</v>
      </c>
      <c r="D13" s="4" t="s">
        <v>29</v>
      </c>
      <c r="E13" s="4" t="s">
        <v>29</v>
      </c>
      <c r="F13" s="4" t="s">
        <v>54</v>
      </c>
      <c r="G13" s="4" t="s">
        <v>46</v>
      </c>
      <c r="H13" s="6" t="s">
        <v>55</v>
      </c>
      <c r="I13" s="4">
        <v>21</v>
      </c>
      <c r="J13" s="4">
        <v>0.5</v>
      </c>
      <c r="K13" s="4">
        <v>8</v>
      </c>
      <c r="L13" s="4">
        <v>8</v>
      </c>
      <c r="M13" s="4">
        <v>1</v>
      </c>
      <c r="N13" s="4">
        <v>1</v>
      </c>
      <c r="O13" s="4">
        <v>1</v>
      </c>
      <c r="P13" s="3">
        <f>(IF(I13=0, 0, IF(I13&lt;=100, 1, IF(I13&lt;=1000, 3, IF(I13&lt;=10000, 6, 10)))) * (1 + J13)) * ((1 + IF(K13&lt;=20, 1, IF(K13&lt;=40, 3, 5)) + IF(L13&lt;=4, 2, IF(L13&lt;=6, 4, 6)) + M13*5) * (N13*O13))</f>
        <v>19.5</v>
      </c>
      <c r="Q13" s="10">
        <v>45680</v>
      </c>
      <c r="R13" s="10"/>
      <c r="S13" s="3">
        <f ca="1">(IF(R13="", 730, TODAY()-R13) * 1) + (IF(OR(Q13="", R13&gt;Q13), IF(R13="", 730, TODAY()-R13), TODAY()-Q13) * 0.3)</f>
        <v>877</v>
      </c>
      <c r="T13" s="3">
        <f>SUMIF(A:A, A13, P:P)</f>
        <v>78</v>
      </c>
      <c r="U13" s="4">
        <v>2</v>
      </c>
      <c r="V13" s="3">
        <f ca="1">T13 * (1 +LOG10(U13)) * (1 + (S13 / 90))</f>
        <v>1090.3498716994604</v>
      </c>
    </row>
    <row r="14" spans="1:22" x14ac:dyDescent="0.25">
      <c r="A14" s="3" t="s">
        <v>51</v>
      </c>
      <c r="B14" s="3" t="s">
        <v>52</v>
      </c>
      <c r="C14" s="3" t="s">
        <v>53</v>
      </c>
      <c r="D14" s="3" t="s">
        <v>29</v>
      </c>
      <c r="E14" s="3" t="s">
        <v>29</v>
      </c>
      <c r="F14" s="3" t="s">
        <v>56</v>
      </c>
      <c r="G14" s="3" t="s">
        <v>46</v>
      </c>
      <c r="H14" s="5" t="s">
        <v>55</v>
      </c>
      <c r="I14" s="3">
        <v>167</v>
      </c>
      <c r="J14" s="3">
        <v>0.5</v>
      </c>
      <c r="K14" s="3">
        <v>8</v>
      </c>
      <c r="L14" s="3">
        <v>8</v>
      </c>
      <c r="M14" s="3">
        <v>1</v>
      </c>
      <c r="N14" s="3">
        <v>1</v>
      </c>
      <c r="O14" s="3">
        <v>1</v>
      </c>
      <c r="P14" s="3">
        <f>(IF(I14=0, 0, IF(I14&lt;=100, 1, IF(I14&lt;=1000, 3, IF(I14&lt;=10000, 6, 10)))) * (1 + J14)) * ((1 + IF(K14&lt;=20, 1, IF(K14&lt;=40, 3, 5)) + IF(L14&lt;=4, 2, IF(L14&lt;=6, 4, 6)) + M14*5) * (N14*O14))</f>
        <v>58.5</v>
      </c>
      <c r="Q14" s="9">
        <v>45680</v>
      </c>
      <c r="R14" s="9"/>
      <c r="S14" s="3">
        <f ca="1">(IF(R14="", 730, TODAY()-R14) * 1) + (IF(OR(Q14="", R14&gt;Q14), IF(R14="", 730, TODAY()-R14), TODAY()-Q14) * 0.3)</f>
        <v>877</v>
      </c>
      <c r="T14" s="3">
        <f>SUMIF(A:A, A14, P:P)</f>
        <v>78</v>
      </c>
      <c r="U14" s="3">
        <v>2</v>
      </c>
      <c r="V14" s="3">
        <f ca="1">T14 * (1 +LOG10(U14)) * (1 + (S14 / 90))</f>
        <v>1090.3498716994604</v>
      </c>
    </row>
    <row r="15" spans="1:22" hidden="1" x14ac:dyDescent="0.25">
      <c r="A15" s="4" t="s">
        <v>57</v>
      </c>
      <c r="B15" s="3" t="s">
        <v>58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idden="1" x14ac:dyDescent="0.25">
      <c r="A16" s="3" t="s">
        <v>59</v>
      </c>
      <c r="B16" s="3" t="s">
        <v>60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idden="1" x14ac:dyDescent="0.25">
      <c r="A17" s="4" t="s">
        <v>61</v>
      </c>
      <c r="B17" s="3" t="s">
        <v>62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idden="1" x14ac:dyDescent="0.25">
      <c r="A18" s="3" t="s">
        <v>63</v>
      </c>
      <c r="B18" s="3" t="s">
        <v>64</v>
      </c>
      <c r="C18" s="3" t="s">
        <v>65</v>
      </c>
      <c r="D18" s="3" t="s">
        <v>44</v>
      </c>
      <c r="E18" s="3" t="s">
        <v>44</v>
      </c>
      <c r="F18" s="3" t="s">
        <v>66</v>
      </c>
      <c r="G18" s="3" t="s">
        <v>46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idden="1" x14ac:dyDescent="0.25">
      <c r="A19" s="4" t="s">
        <v>63</v>
      </c>
      <c r="B19" s="4" t="s">
        <v>64</v>
      </c>
      <c r="C19" s="4" t="s">
        <v>65</v>
      </c>
      <c r="D19" s="4" t="s">
        <v>44</v>
      </c>
      <c r="E19" s="4" t="s">
        <v>44</v>
      </c>
      <c r="F19" s="4" t="s">
        <v>67</v>
      </c>
      <c r="G19" s="4" t="s">
        <v>46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idden="1" x14ac:dyDescent="0.25">
      <c r="A20" s="3" t="s">
        <v>63</v>
      </c>
      <c r="B20" s="3" t="s">
        <v>64</v>
      </c>
      <c r="C20" s="3" t="s">
        <v>65</v>
      </c>
      <c r="D20" s="3" t="s">
        <v>44</v>
      </c>
      <c r="E20" s="3" t="s">
        <v>44</v>
      </c>
      <c r="F20" s="3" t="s">
        <v>68</v>
      </c>
      <c r="G20" s="3" t="s">
        <v>46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5">
      <c r="A21" s="4" t="s">
        <v>69</v>
      </c>
      <c r="B21" s="3" t="s">
        <v>70</v>
      </c>
      <c r="C21" s="3" t="s">
        <v>71</v>
      </c>
      <c r="D21" s="3" t="s">
        <v>29</v>
      </c>
      <c r="E21" s="3" t="s">
        <v>29</v>
      </c>
      <c r="F21" s="3" t="s">
        <v>72</v>
      </c>
      <c r="G21" s="3" t="s">
        <v>73</v>
      </c>
      <c r="H21" s="5" t="s">
        <v>74</v>
      </c>
      <c r="I21" s="3">
        <v>41973</v>
      </c>
      <c r="J21" s="3">
        <v>0.5</v>
      </c>
      <c r="K21" s="3">
        <v>54</v>
      </c>
      <c r="L21" s="3">
        <v>4</v>
      </c>
      <c r="M21" s="3">
        <v>1</v>
      </c>
      <c r="N21" s="3">
        <v>1.5</v>
      </c>
      <c r="O21" s="3">
        <v>1</v>
      </c>
      <c r="P21" s="3">
        <f>(IF(I21=0, 0, IF(I21&lt;=100, 1, IF(I21&lt;=1000, 3, IF(I21&lt;=10000, 6, 10)))) * (1 + J21)) * ((1 + IF(K21&lt;=20, 1, IF(K21&lt;=40, 3, 5)) + IF(L21&lt;=4, 2, IF(L21&lt;=6, 4, 6)) + M21*5) * (N21*O21))</f>
        <v>292.5</v>
      </c>
      <c r="Q21" s="9">
        <v>46045</v>
      </c>
      <c r="R21" s="9">
        <v>45793</v>
      </c>
      <c r="S21" s="3">
        <f ca="1">(IF(R21="", 730, TODAY()-R21) * 1) + (IF(OR(Q21="", R21&gt;Q21), IF(R21="", 730, TODAY()-R21), TODAY()-Q21) * 0.3)</f>
        <v>414.5</v>
      </c>
      <c r="T21" s="3">
        <f>SUMIF(A:A, A21, P:P)</f>
        <v>292.5</v>
      </c>
      <c r="U21" s="3">
        <v>1</v>
      </c>
      <c r="V21" s="3">
        <f ca="1">T21 * (1 +LOG10(U21)) * (1 + (S21 / 90))</f>
        <v>1639.625</v>
      </c>
    </row>
    <row r="22" spans="1:22" hidden="1" x14ac:dyDescent="0.25">
      <c r="A22" s="3" t="s">
        <v>69</v>
      </c>
      <c r="B22" s="4" t="s">
        <v>70</v>
      </c>
      <c r="C22" s="4" t="s">
        <v>71</v>
      </c>
      <c r="D22" s="4" t="s">
        <v>29</v>
      </c>
      <c r="E22" s="4" t="s">
        <v>44</v>
      </c>
      <c r="F22" s="4" t="s">
        <v>75</v>
      </c>
      <c r="G22" s="4" t="s">
        <v>73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idden="1" x14ac:dyDescent="0.25">
      <c r="A23" s="4" t="s">
        <v>76</v>
      </c>
      <c r="B23" s="3" t="s">
        <v>77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3" t="s">
        <v>78</v>
      </c>
      <c r="B24" s="4" t="s">
        <v>79</v>
      </c>
      <c r="C24" s="4" t="s">
        <v>80</v>
      </c>
      <c r="D24" s="4" t="s">
        <v>29</v>
      </c>
      <c r="E24" s="4" t="s">
        <v>29</v>
      </c>
      <c r="F24" s="4" t="s">
        <v>81</v>
      </c>
      <c r="G24" s="4" t="s">
        <v>46</v>
      </c>
      <c r="H24" s="6" t="s">
        <v>82</v>
      </c>
      <c r="I24" s="4">
        <v>1107</v>
      </c>
      <c r="J24" s="4">
        <v>0.5</v>
      </c>
      <c r="K24" s="4">
        <v>6</v>
      </c>
      <c r="L24" s="4">
        <v>1</v>
      </c>
      <c r="M24" s="4">
        <v>0</v>
      </c>
      <c r="N24" s="4">
        <v>1</v>
      </c>
      <c r="O24" s="4">
        <v>1</v>
      </c>
      <c r="P24" s="3">
        <f>(IF(I24=0, 0, IF(I24&lt;=100, 1, IF(I24&lt;=1000, 3, IF(I24&lt;=10000, 6, 10)))) * (1 + J24)) * ((1 + IF(K24&lt;=20, 1, IF(K24&lt;=40, 3, 5)) + IF(L24&lt;=4, 2, IF(L24&lt;=6, 4, 6)) + M24*5) * (N24*O24))</f>
        <v>36</v>
      </c>
      <c r="Q24" s="10">
        <v>46097</v>
      </c>
      <c r="R24" s="10">
        <v>45848</v>
      </c>
      <c r="S24" s="3">
        <f ca="1">(IF(R24="", 730, TODAY()-R24) * 1) + (IF(OR(Q24="", R24&gt;Q24), IF(R24="", 730, TODAY()-R24), TODAY()-Q24) * 0.3)</f>
        <v>343.9</v>
      </c>
      <c r="T24" s="3">
        <f>SUMIF(A:A, A24, P:P)</f>
        <v>54</v>
      </c>
      <c r="U24" s="4">
        <v>2</v>
      </c>
      <c r="V24" s="3">
        <f ca="1">T24 * (1 +LOG10(U24)) * (1 + (S24 / 90))</f>
        <v>338.71014907116086</v>
      </c>
    </row>
    <row r="25" spans="1:22" x14ac:dyDescent="0.25">
      <c r="A25" s="4" t="s">
        <v>78</v>
      </c>
      <c r="B25" s="3" t="s">
        <v>79</v>
      </c>
      <c r="C25" s="3" t="s">
        <v>80</v>
      </c>
      <c r="D25" s="3" t="s">
        <v>29</v>
      </c>
      <c r="E25" s="3" t="s">
        <v>29</v>
      </c>
      <c r="F25" s="3" t="s">
        <v>83</v>
      </c>
      <c r="G25" s="3" t="s">
        <v>46</v>
      </c>
      <c r="H25" s="5" t="s">
        <v>84</v>
      </c>
      <c r="I25" s="3">
        <v>283</v>
      </c>
      <c r="J25" s="3">
        <v>0.5</v>
      </c>
      <c r="K25" s="3">
        <v>6</v>
      </c>
      <c r="L25" s="3">
        <v>1</v>
      </c>
      <c r="M25" s="3">
        <v>0</v>
      </c>
      <c r="N25" s="3">
        <v>1</v>
      </c>
      <c r="O25" s="3">
        <v>1</v>
      </c>
      <c r="P25" s="3">
        <f>(IF(I25=0, 0, IF(I25&lt;=100, 1, IF(I25&lt;=1000, 3, IF(I25&lt;=10000, 6, 10)))) * (1 + J25)) * ((1 + IF(K25&lt;=20, 1, IF(K25&lt;=40, 3, 5)) + IF(L25&lt;=4, 2, IF(L25&lt;=6, 4, 6)) + M25*5) * (N25*O25))</f>
        <v>18</v>
      </c>
      <c r="Q25" s="9">
        <v>46097</v>
      </c>
      <c r="R25" s="9">
        <v>45848</v>
      </c>
      <c r="S25" s="3">
        <f ca="1">(IF(R25="", 730, TODAY()-R25) * 1) + (IF(OR(Q25="", R25&gt;Q25), IF(R25="", 730, TODAY()-R25), TODAY()-Q25) * 0.3)</f>
        <v>343.9</v>
      </c>
      <c r="T25" s="3">
        <f>SUMIF(A:A, A25, P:P)</f>
        <v>54</v>
      </c>
      <c r="U25" s="3">
        <v>2</v>
      </c>
      <c r="V25" s="3">
        <f ca="1">T25 * (1 +LOG10(U25)) * (1 + (S25 / 90))</f>
        <v>338.71014907116086</v>
      </c>
    </row>
    <row r="26" spans="1:22" hidden="1" x14ac:dyDescent="0.25">
      <c r="A26" s="3" t="s">
        <v>85</v>
      </c>
      <c r="B26" s="4" t="s">
        <v>86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idden="1" x14ac:dyDescent="0.25">
      <c r="A27" s="4" t="s">
        <v>87</v>
      </c>
      <c r="B27" s="3" t="s">
        <v>88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25">
      <c r="A28" s="3" t="s">
        <v>89</v>
      </c>
      <c r="B28" s="3" t="s">
        <v>90</v>
      </c>
      <c r="C28" s="3" t="s">
        <v>91</v>
      </c>
      <c r="D28" s="3" t="s">
        <v>29</v>
      </c>
      <c r="E28" s="3" t="s">
        <v>29</v>
      </c>
      <c r="F28" s="3" t="s">
        <v>92</v>
      </c>
      <c r="G28" s="3" t="s">
        <v>46</v>
      </c>
      <c r="H28" s="5" t="s">
        <v>93</v>
      </c>
      <c r="I28" s="3">
        <v>344</v>
      </c>
      <c r="J28" s="3">
        <v>0.5</v>
      </c>
      <c r="K28" s="3">
        <v>8</v>
      </c>
      <c r="L28" s="3">
        <v>1</v>
      </c>
      <c r="M28" s="3">
        <v>0</v>
      </c>
      <c r="N28" s="3">
        <v>1</v>
      </c>
      <c r="O28" s="3">
        <v>1</v>
      </c>
      <c r="P28" s="3">
        <f>(IF(I28=0, 0, IF(I28&lt;=100, 1, IF(I28&lt;=1000, 3, IF(I28&lt;=10000, 6, 10)))) * (1 + J28)) * ((1 + IF(K28&lt;=20, 1, IF(K28&lt;=40, 3, 5)) + IF(L28&lt;=4, 2, IF(L28&lt;=6, 4, 6)) + M28*5) * (N28*O28))</f>
        <v>18</v>
      </c>
      <c r="Q28" s="9">
        <v>45890</v>
      </c>
      <c r="R28" s="9">
        <v>45821</v>
      </c>
      <c r="S28" s="3">
        <f ca="1">(IF(R28="", 730, TODAY()-R28) * 1) + (IF(OR(Q28="", R28&gt;Q28), IF(R28="", 730, TODAY()-R28), TODAY()-Q28) * 0.3)</f>
        <v>433</v>
      </c>
      <c r="T28" s="3">
        <f>SUMIF(A:A, A28, P:P)</f>
        <v>54</v>
      </c>
      <c r="U28" s="3">
        <v>3</v>
      </c>
      <c r="V28" s="3">
        <f ca="1">T28 * (1 +LOG10(U28)) * (1 + (S28 / 90))</f>
        <v>463.52064973103001</v>
      </c>
    </row>
    <row r="29" spans="1:22" x14ac:dyDescent="0.25">
      <c r="A29" s="4" t="s">
        <v>89</v>
      </c>
      <c r="B29" s="4" t="s">
        <v>90</v>
      </c>
      <c r="C29" s="4" t="s">
        <v>91</v>
      </c>
      <c r="D29" s="4" t="s">
        <v>29</v>
      </c>
      <c r="E29" s="4" t="s">
        <v>29</v>
      </c>
      <c r="F29" s="4" t="s">
        <v>94</v>
      </c>
      <c r="G29" s="4" t="s">
        <v>46</v>
      </c>
      <c r="H29" s="6" t="s">
        <v>93</v>
      </c>
      <c r="I29" s="4">
        <v>362</v>
      </c>
      <c r="J29" s="4">
        <v>0.5</v>
      </c>
      <c r="K29" s="4">
        <v>8</v>
      </c>
      <c r="L29" s="4">
        <v>1</v>
      </c>
      <c r="M29" s="4">
        <v>0</v>
      </c>
      <c r="N29" s="4">
        <v>1</v>
      </c>
      <c r="O29" s="4">
        <v>1</v>
      </c>
      <c r="P29" s="3">
        <f>(IF(I29=0, 0, IF(I29&lt;=100, 1, IF(I29&lt;=1000, 3, IF(I29&lt;=10000, 6, 10)))) * (1 + J29)) * ((1 + IF(K29&lt;=20, 1, IF(K29&lt;=40, 3, 5)) + IF(L29&lt;=4, 2, IF(L29&lt;=6, 4, 6)) + M29*5) * (N29*O29))</f>
        <v>18</v>
      </c>
      <c r="Q29" s="10">
        <v>45890</v>
      </c>
      <c r="R29" s="10">
        <v>45821</v>
      </c>
      <c r="S29" s="3">
        <f ca="1">(IF(R29="", 730, TODAY()-R29) * 1) + (IF(OR(Q29="", R29&gt;Q29), IF(R29="", 730, TODAY()-R29), TODAY()-Q29) * 0.3)</f>
        <v>433</v>
      </c>
      <c r="T29" s="3">
        <f>SUMIF(A:A, A29, P:P)</f>
        <v>54</v>
      </c>
      <c r="U29" s="4">
        <v>3</v>
      </c>
      <c r="V29" s="3">
        <f ca="1">T29 * (1 +LOG10(U29)) * (1 + (S29 / 90))</f>
        <v>463.52064973103001</v>
      </c>
    </row>
    <row r="30" spans="1:22" x14ac:dyDescent="0.25">
      <c r="A30" s="3" t="s">
        <v>89</v>
      </c>
      <c r="B30" s="3" t="s">
        <v>90</v>
      </c>
      <c r="C30" s="3" t="s">
        <v>91</v>
      </c>
      <c r="D30" s="3" t="s">
        <v>29</v>
      </c>
      <c r="E30" s="3" t="s">
        <v>29</v>
      </c>
      <c r="F30" s="3" t="s">
        <v>95</v>
      </c>
      <c r="G30" s="3" t="s">
        <v>46</v>
      </c>
      <c r="H30" s="5" t="s">
        <v>93</v>
      </c>
      <c r="I30" s="3">
        <v>872</v>
      </c>
      <c r="J30" s="3">
        <v>0.5</v>
      </c>
      <c r="K30" s="3">
        <v>8</v>
      </c>
      <c r="L30" s="3">
        <v>1</v>
      </c>
      <c r="M30" s="3">
        <v>0</v>
      </c>
      <c r="N30" s="3">
        <v>1</v>
      </c>
      <c r="O30" s="3">
        <v>1</v>
      </c>
      <c r="P30" s="3">
        <f>(IF(I30=0, 0, IF(I30&lt;=100, 1, IF(I30&lt;=1000, 3, IF(I30&lt;=10000, 6, 10)))) * (1 + J30)) * ((1 + IF(K30&lt;=20, 1, IF(K30&lt;=40, 3, 5)) + IF(L30&lt;=4, 2, IF(L30&lt;=6, 4, 6)) + M30*5) * (N30*O30))</f>
        <v>18</v>
      </c>
      <c r="Q30" s="9">
        <v>45890</v>
      </c>
      <c r="R30" s="9">
        <v>45821</v>
      </c>
      <c r="S30" s="3">
        <f ca="1">(IF(R30="", 730, TODAY()-R30) * 1) + (IF(OR(Q30="", R30&gt;Q30), IF(R30="", 730, TODAY()-R30), TODAY()-Q30) * 0.3)</f>
        <v>433</v>
      </c>
      <c r="T30" s="3">
        <f>SUMIF(A:A, A30, P:P)</f>
        <v>54</v>
      </c>
      <c r="U30" s="3">
        <v>3</v>
      </c>
      <c r="V30" s="3">
        <f ca="1">T30 * (1 +LOG10(U30)) * (1 + (S30 / 90))</f>
        <v>463.52064973103001</v>
      </c>
    </row>
    <row r="31" spans="1:22" hidden="1" x14ac:dyDescent="0.25">
      <c r="A31" s="4" t="s">
        <v>96</v>
      </c>
      <c r="B31" s="4" t="s">
        <v>97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idden="1" x14ac:dyDescent="0.25">
      <c r="A32" s="3" t="s">
        <v>98</v>
      </c>
      <c r="B32" s="3" t="s">
        <v>99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idden="1" x14ac:dyDescent="0.25">
      <c r="A33" s="4" t="s">
        <v>100</v>
      </c>
      <c r="B33" s="3" t="s">
        <v>101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idden="1" x14ac:dyDescent="0.25">
      <c r="A34" s="3" t="s">
        <v>102</v>
      </c>
      <c r="B34" s="4" t="s">
        <v>103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x14ac:dyDescent="0.25">
      <c r="A35" s="4" t="s">
        <v>104</v>
      </c>
      <c r="B35" s="3" t="s">
        <v>105</v>
      </c>
      <c r="C35" s="3" t="s">
        <v>106</v>
      </c>
      <c r="D35" s="3" t="s">
        <v>29</v>
      </c>
      <c r="E35" s="3" t="s">
        <v>29</v>
      </c>
      <c r="F35" s="3" t="s">
        <v>107</v>
      </c>
      <c r="G35" s="3" t="s">
        <v>46</v>
      </c>
      <c r="H35" s="5" t="s">
        <v>108</v>
      </c>
      <c r="I35" s="3">
        <v>51</v>
      </c>
      <c r="J35" s="3">
        <v>0.5</v>
      </c>
      <c r="K35" s="3">
        <v>14</v>
      </c>
      <c r="L35" s="3">
        <v>5</v>
      </c>
      <c r="M35" s="3">
        <v>1</v>
      </c>
      <c r="N35" s="3">
        <v>1</v>
      </c>
      <c r="O35" s="3">
        <v>1</v>
      </c>
      <c r="P35" s="3">
        <f>(IF(I35=0, 0, IF(I35&lt;=100, 1, IF(I35&lt;=1000, 3, IF(I35&lt;=10000, 6, 10)))) * (1 + J35)) * ((1 + IF(K35&lt;=20, 1, IF(K35&lt;=40, 3, 5)) + IF(L35&lt;=4, 2, IF(L35&lt;=6, 4, 6)) + M35*5) * (N35*O35))</f>
        <v>16.5</v>
      </c>
      <c r="Q35" s="9">
        <v>46120</v>
      </c>
      <c r="R35" s="9">
        <v>45744</v>
      </c>
      <c r="S35" s="3">
        <f ca="1">(IF(R35="", 730, TODAY()-R35) * 1) + (IF(OR(Q35="", R35&gt;Q35), IF(R35="", 730, TODAY()-R35), TODAY()-Q35) * 0.3)</f>
        <v>441</v>
      </c>
      <c r="T35" s="3">
        <f>SUMIF(A:A, A35, P:P)</f>
        <v>66</v>
      </c>
      <c r="U35" s="3">
        <v>3</v>
      </c>
      <c r="V35" s="3">
        <f ca="1">T35 * (1 +LOG10(U35)) * (1 + (S35 / 90))</f>
        <v>575.19101658783654</v>
      </c>
    </row>
    <row r="36" spans="1:22" x14ac:dyDescent="0.25">
      <c r="A36" s="3" t="s">
        <v>104</v>
      </c>
      <c r="B36" s="4" t="s">
        <v>105</v>
      </c>
      <c r="C36" s="4" t="s">
        <v>106</v>
      </c>
      <c r="D36" s="4" t="s">
        <v>29</v>
      </c>
      <c r="E36" s="4" t="s">
        <v>29</v>
      </c>
      <c r="F36" s="4" t="s">
        <v>109</v>
      </c>
      <c r="G36" s="4" t="s">
        <v>46</v>
      </c>
      <c r="H36" s="6" t="s">
        <v>108</v>
      </c>
      <c r="I36" s="4">
        <v>262</v>
      </c>
      <c r="J36" s="4">
        <v>0.5</v>
      </c>
      <c r="K36" s="4">
        <v>14</v>
      </c>
      <c r="L36" s="4">
        <v>5</v>
      </c>
      <c r="M36" s="4">
        <v>1</v>
      </c>
      <c r="N36" s="4">
        <v>1</v>
      </c>
      <c r="O36" s="4">
        <v>1</v>
      </c>
      <c r="P36" s="3">
        <f>(IF(I36=0, 0, IF(I36&lt;=100, 1, IF(I36&lt;=1000, 3, IF(I36&lt;=10000, 6, 10)))) * (1 + J36)) * ((1 + IF(K36&lt;=20, 1, IF(K36&lt;=40, 3, 5)) + IF(L36&lt;=4, 2, IF(L36&lt;=6, 4, 6)) + M36*5) * (N36*O36))</f>
        <v>49.5</v>
      </c>
      <c r="Q36" s="10">
        <v>46120</v>
      </c>
      <c r="R36" s="10">
        <v>45744</v>
      </c>
      <c r="S36" s="3">
        <f ca="1">(IF(R36="", 730, TODAY()-R36) * 1) + (IF(OR(Q36="", R36&gt;Q36), IF(R36="", 730, TODAY()-R36), TODAY()-Q36) * 0.3)</f>
        <v>441</v>
      </c>
      <c r="T36" s="3">
        <f>SUMIF(A:A, A36, P:P)</f>
        <v>66</v>
      </c>
      <c r="U36" s="4">
        <v>3</v>
      </c>
      <c r="V36" s="3">
        <f ca="1">T36 * (1 +LOG10(U36)) * (1 + (S36 / 90))</f>
        <v>575.19101658783654</v>
      </c>
    </row>
    <row r="37" spans="1:22" hidden="1" x14ac:dyDescent="0.25">
      <c r="A37" s="4" t="s">
        <v>104</v>
      </c>
      <c r="B37" s="4" t="s">
        <v>105</v>
      </c>
      <c r="C37" s="4" t="s">
        <v>106</v>
      </c>
      <c r="D37" s="4" t="s">
        <v>29</v>
      </c>
      <c r="E37" s="4" t="s">
        <v>44</v>
      </c>
      <c r="F37" s="4" t="s">
        <v>110</v>
      </c>
      <c r="G37" s="4" t="s">
        <v>46</v>
      </c>
      <c r="H37" s="6" t="s">
        <v>111</v>
      </c>
      <c r="I37" s="4">
        <v>0</v>
      </c>
      <c r="J37" s="4">
        <v>0</v>
      </c>
      <c r="K37" s="4">
        <v>14</v>
      </c>
      <c r="L37" s="4">
        <v>5</v>
      </c>
      <c r="M37" s="4">
        <v>1</v>
      </c>
      <c r="N37" s="4">
        <v>1</v>
      </c>
      <c r="O37" s="4">
        <v>1</v>
      </c>
      <c r="P37" s="4">
        <v>0</v>
      </c>
      <c r="Q37" s="4"/>
      <c r="R37" s="7">
        <v>45744</v>
      </c>
      <c r="S37" s="4"/>
      <c r="T37" s="4"/>
      <c r="U37" s="4">
        <v>3</v>
      </c>
      <c r="V37" s="4"/>
    </row>
    <row r="38" spans="1:22" hidden="1" x14ac:dyDescent="0.25">
      <c r="A38" s="3" t="s">
        <v>112</v>
      </c>
      <c r="B38" s="4" t="s">
        <v>113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2" hidden="1" x14ac:dyDescent="0.25">
      <c r="A39" s="4" t="s">
        <v>114</v>
      </c>
      <c r="B39" s="3" t="s">
        <v>115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idden="1" x14ac:dyDescent="0.25">
      <c r="A40" s="3" t="s">
        <v>116</v>
      </c>
      <c r="B40" s="4" t="s">
        <v>117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hidden="1" x14ac:dyDescent="0.25">
      <c r="A41" s="4" t="s">
        <v>118</v>
      </c>
      <c r="B41" s="3" t="s">
        <v>119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idden="1" x14ac:dyDescent="0.25">
      <c r="A42" s="3" t="s">
        <v>120</v>
      </c>
      <c r="B42" s="3" t="s">
        <v>121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idden="1" x14ac:dyDescent="0.25">
      <c r="A43" s="4" t="s">
        <v>122</v>
      </c>
      <c r="B43" s="4" t="s">
        <v>123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idden="1" x14ac:dyDescent="0.25">
      <c r="A44" s="3" t="s">
        <v>124</v>
      </c>
      <c r="B44" s="3" t="s">
        <v>125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idden="1" x14ac:dyDescent="0.25">
      <c r="A45" s="4" t="s">
        <v>126</v>
      </c>
      <c r="B45" s="3" t="s">
        <v>127</v>
      </c>
      <c r="C45" s="3" t="s">
        <v>128</v>
      </c>
      <c r="D45" s="3" t="s">
        <v>44</v>
      </c>
      <c r="E45" s="3" t="s">
        <v>44</v>
      </c>
      <c r="F45" s="3" t="s">
        <v>129</v>
      </c>
      <c r="G45" s="3" t="s">
        <v>46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idden="1" x14ac:dyDescent="0.25">
      <c r="A46" s="3" t="s">
        <v>130</v>
      </c>
      <c r="B46" s="4" t="s">
        <v>131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spans="1:22" hidden="1" x14ac:dyDescent="0.25">
      <c r="A47" s="4" t="s">
        <v>132</v>
      </c>
      <c r="B47" s="3" t="s">
        <v>133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idden="1" x14ac:dyDescent="0.25">
      <c r="A48" s="3" t="s">
        <v>134</v>
      </c>
      <c r="B48" s="4" t="s">
        <v>135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spans="1:22" hidden="1" x14ac:dyDescent="0.25">
      <c r="A49" s="4" t="s">
        <v>136</v>
      </c>
      <c r="B49" s="4" t="s">
        <v>137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hidden="1" x14ac:dyDescent="0.25">
      <c r="A50" s="3" t="s">
        <v>138</v>
      </c>
      <c r="B50" s="3" t="s">
        <v>139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idden="1" x14ac:dyDescent="0.25">
      <c r="A51" s="4" t="s">
        <v>140</v>
      </c>
      <c r="B51" s="3" t="s">
        <v>141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x14ac:dyDescent="0.25">
      <c r="A52" s="3" t="s">
        <v>142</v>
      </c>
      <c r="B52" s="4" t="s">
        <v>143</v>
      </c>
      <c r="C52" s="4" t="s">
        <v>144</v>
      </c>
      <c r="D52" s="4" t="s">
        <v>29</v>
      </c>
      <c r="E52" s="4" t="s">
        <v>29</v>
      </c>
      <c r="F52" s="4" t="s">
        <v>145</v>
      </c>
      <c r="G52" s="4" t="s">
        <v>146</v>
      </c>
      <c r="H52" s="6" t="s">
        <v>147</v>
      </c>
      <c r="I52" s="4">
        <v>5903</v>
      </c>
      <c r="J52" s="4">
        <v>0.5</v>
      </c>
      <c r="K52" s="4">
        <v>19</v>
      </c>
      <c r="L52" s="4">
        <v>1</v>
      </c>
      <c r="M52" s="4">
        <v>0</v>
      </c>
      <c r="N52" s="4">
        <v>1.5</v>
      </c>
      <c r="O52" s="4">
        <v>1</v>
      </c>
      <c r="P52" s="3">
        <f>(IF(I52=0, 0, IF(I52&lt;=100, 1, IF(I52&lt;=1000, 3, IF(I52&lt;=10000, 6, 10)))) * (1 + J52)) * ((1 + IF(K52&lt;=20, 1, IF(K52&lt;=40, 3, 5)) + IF(L52&lt;=4, 2, IF(L52&lt;=6, 4, 6)) + M52*5) * (N52*O52))</f>
        <v>54</v>
      </c>
      <c r="Q52" s="10">
        <v>45994</v>
      </c>
      <c r="R52" s="10">
        <v>45820</v>
      </c>
      <c r="S52" s="3">
        <f ca="1">(IF(R52="", 730, TODAY()-R52) * 1) + (IF(OR(Q52="", R52&gt;Q52), IF(R52="", 730, TODAY()-R52), TODAY()-Q52) * 0.3)</f>
        <v>402.8</v>
      </c>
      <c r="T52" s="3">
        <f>SUMIF(A:A, A52, P:P)</f>
        <v>54</v>
      </c>
      <c r="U52" s="4">
        <v>1</v>
      </c>
      <c r="V52" s="3">
        <f ca="1">T52 * (1 +LOG10(U52)) * (1 + (S52 / 90))</f>
        <v>295.68</v>
      </c>
    </row>
    <row r="53" spans="1:22" hidden="1" x14ac:dyDescent="0.25">
      <c r="A53" s="4" t="s">
        <v>142</v>
      </c>
      <c r="B53" s="3" t="s">
        <v>143</v>
      </c>
      <c r="C53" s="3" t="s">
        <v>144</v>
      </c>
      <c r="D53" s="3" t="s">
        <v>29</v>
      </c>
      <c r="E53" s="3" t="s">
        <v>44</v>
      </c>
      <c r="F53" s="3" t="s">
        <v>148</v>
      </c>
      <c r="G53" s="3" t="s">
        <v>146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idden="1" x14ac:dyDescent="0.25">
      <c r="A54" s="3" t="s">
        <v>149</v>
      </c>
      <c r="B54" s="4" t="s">
        <v>150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1:22" hidden="1" x14ac:dyDescent="0.25">
      <c r="A55" s="4" t="s">
        <v>151</v>
      </c>
      <c r="B55" s="3" t="s">
        <v>152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idden="1" x14ac:dyDescent="0.25">
      <c r="A56" s="3" t="s">
        <v>153</v>
      </c>
      <c r="B56" s="4" t="s">
        <v>154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1:22" hidden="1" x14ac:dyDescent="0.25">
      <c r="A57" s="4" t="s">
        <v>155</v>
      </c>
      <c r="B57" s="3" t="s">
        <v>156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x14ac:dyDescent="0.25">
      <c r="A58" s="3" t="s">
        <v>157</v>
      </c>
      <c r="B58" s="4" t="s">
        <v>158</v>
      </c>
      <c r="C58" s="4" t="s">
        <v>159</v>
      </c>
      <c r="D58" s="4" t="s">
        <v>29</v>
      </c>
      <c r="E58" s="4" t="s">
        <v>29</v>
      </c>
      <c r="F58" s="4" t="s">
        <v>160</v>
      </c>
      <c r="G58" s="4" t="s">
        <v>46</v>
      </c>
      <c r="H58" s="6" t="s">
        <v>161</v>
      </c>
      <c r="I58" s="4">
        <v>398</v>
      </c>
      <c r="J58" s="4">
        <v>0.5</v>
      </c>
      <c r="K58" s="4">
        <v>13</v>
      </c>
      <c r="L58" s="4">
        <v>5</v>
      </c>
      <c r="M58" s="4">
        <v>1</v>
      </c>
      <c r="N58" s="4">
        <v>1</v>
      </c>
      <c r="O58" s="4">
        <v>1</v>
      </c>
      <c r="P58" s="3">
        <f>(IF(I58=0, 0, IF(I58&lt;=100, 1, IF(I58&lt;=1000, 3, IF(I58&lt;=10000, 6, 10)))) * (1 + J58)) * ((1 + IF(K58&lt;=20, 1, IF(K58&lt;=40, 3, 5)) + IF(L58&lt;=4, 2, IF(L58&lt;=6, 4, 6)) + M58*5) * (N58*O58))</f>
        <v>49.5</v>
      </c>
      <c r="Q58" s="10"/>
      <c r="R58" s="10">
        <v>45866</v>
      </c>
      <c r="S58" s="3">
        <f ca="1">(IF(R58="", 730, TODAY()-R58) * 1) + (IF(OR(Q58="", R58&gt;Q58), IF(R58="", 730, TODAY()-R58), TODAY()-Q58) * 0.3)</f>
        <v>395.2</v>
      </c>
      <c r="T58" s="3">
        <f>SUMIF(A:A, A58, P:P)</f>
        <v>49.5</v>
      </c>
      <c r="U58" s="4">
        <v>1</v>
      </c>
      <c r="V58" s="3">
        <f ca="1">T58 * (1 +LOG10(U58)) * (1 + (S58 / 90))</f>
        <v>266.86</v>
      </c>
    </row>
    <row r="59" spans="1:22" hidden="1" x14ac:dyDescent="0.25">
      <c r="A59" s="4" t="s">
        <v>162</v>
      </c>
      <c r="B59" s="4" t="s">
        <v>163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1:22" hidden="1" x14ac:dyDescent="0.25">
      <c r="A60" s="3" t="s">
        <v>164</v>
      </c>
      <c r="B60" s="4" t="s">
        <v>165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1:22" hidden="1" x14ac:dyDescent="0.25">
      <c r="A61" s="4" t="s">
        <v>166</v>
      </c>
      <c r="B61" s="4" t="s">
        <v>167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1:22" hidden="1" x14ac:dyDescent="0.25">
      <c r="A62" s="3" t="s">
        <v>168</v>
      </c>
      <c r="B62" s="4" t="s">
        <v>169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1:22" x14ac:dyDescent="0.25">
      <c r="A63" s="4" t="s">
        <v>170</v>
      </c>
      <c r="B63" s="3" t="s">
        <v>171</v>
      </c>
      <c r="C63" s="3" t="s">
        <v>172</v>
      </c>
      <c r="D63" s="3" t="s">
        <v>29</v>
      </c>
      <c r="E63" s="3" t="s">
        <v>29</v>
      </c>
      <c r="F63" s="3" t="s">
        <v>173</v>
      </c>
      <c r="G63" s="3" t="s">
        <v>174</v>
      </c>
      <c r="H63" s="5" t="s">
        <v>175</v>
      </c>
      <c r="I63" s="3">
        <v>26</v>
      </c>
      <c r="J63" s="3">
        <v>0.5</v>
      </c>
      <c r="K63" s="3">
        <v>14</v>
      </c>
      <c r="L63" s="3">
        <v>2</v>
      </c>
      <c r="M63" s="3">
        <v>0</v>
      </c>
      <c r="N63" s="3">
        <v>1.5</v>
      </c>
      <c r="O63" s="3">
        <v>1</v>
      </c>
      <c r="P63" s="3">
        <f>(IF(I63=0, 0, IF(I63&lt;=100, 1, IF(I63&lt;=1000, 3, IF(I63&lt;=10000, 6, 10)))) * (1 + J63)) * ((1 + IF(K63&lt;=20, 1, IF(K63&lt;=40, 3, 5)) + IF(L63&lt;=4, 2, IF(L63&lt;=6, 4, 6)) + M63*5) * (N63*O63))</f>
        <v>9</v>
      </c>
      <c r="Q63" s="9"/>
      <c r="R63" s="9">
        <v>45796</v>
      </c>
      <c r="S63" s="3">
        <f ca="1">(IF(R63="", 730, TODAY()-R63) * 1) + (IF(OR(Q63="", R63&gt;Q63), IF(R63="", 730, TODAY()-R63), TODAY()-Q63) * 0.3)</f>
        <v>486.2</v>
      </c>
      <c r="T63" s="3">
        <f>SUMIF(A:A, A63, P:P)</f>
        <v>9</v>
      </c>
      <c r="U63" s="3">
        <v>1</v>
      </c>
      <c r="V63" s="3">
        <f ca="1">T63 * (1 +LOG10(U63)) * (1 + (S63 / 90))</f>
        <v>57.62</v>
      </c>
    </row>
    <row r="64" spans="1:22" hidden="1" x14ac:dyDescent="0.25">
      <c r="A64" s="3" t="s">
        <v>176</v>
      </c>
      <c r="B64" s="4" t="s">
        <v>177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1:22" hidden="1" x14ac:dyDescent="0.25">
      <c r="A65" s="4" t="s">
        <v>178</v>
      </c>
      <c r="B65" s="3" t="s">
        <v>179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idden="1" x14ac:dyDescent="0.25">
      <c r="A66" s="3" t="s">
        <v>180</v>
      </c>
      <c r="B66" s="3" t="s">
        <v>181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x14ac:dyDescent="0.25">
      <c r="A67" s="4" t="s">
        <v>182</v>
      </c>
      <c r="B67" s="4" t="s">
        <v>183</v>
      </c>
      <c r="C67" s="4" t="s">
        <v>184</v>
      </c>
      <c r="D67" s="4" t="s">
        <v>29</v>
      </c>
      <c r="E67" s="4" t="s">
        <v>29</v>
      </c>
      <c r="F67" s="4" t="s">
        <v>185</v>
      </c>
      <c r="G67" s="4" t="s">
        <v>46</v>
      </c>
      <c r="H67" s="6" t="s">
        <v>186</v>
      </c>
      <c r="I67" s="4">
        <v>5964</v>
      </c>
      <c r="J67" s="4">
        <v>0.5</v>
      </c>
      <c r="K67" s="4">
        <v>18</v>
      </c>
      <c r="L67" s="4">
        <v>1</v>
      </c>
      <c r="M67" s="4">
        <v>0</v>
      </c>
      <c r="N67" s="4">
        <v>1.5</v>
      </c>
      <c r="O67" s="4">
        <v>1</v>
      </c>
      <c r="P67" s="3">
        <f>(IF(I67=0, 0, IF(I67&lt;=100, 1, IF(I67&lt;=1000, 3, IF(I67&lt;=10000, 6, 10)))) * (1 + J67)) * ((1 + IF(K67&lt;=20, 1, IF(K67&lt;=40, 3, 5)) + IF(L67&lt;=4, 2, IF(L67&lt;=6, 4, 6)) + M67*5) * (N67*O67))</f>
        <v>54</v>
      </c>
      <c r="Q67" s="10">
        <v>46049</v>
      </c>
      <c r="R67" s="10">
        <v>45713</v>
      </c>
      <c r="S67" s="3">
        <f ca="1">(IF(R67="", 730, TODAY()-R67) * 1) + (IF(OR(Q67="", R67&gt;Q67), IF(R67="", 730, TODAY()-R67), TODAY()-Q67) * 0.3)</f>
        <v>493.3</v>
      </c>
      <c r="T67" s="3">
        <f>SUMIF(A:A, A67, P:P)</f>
        <v>54</v>
      </c>
      <c r="U67" s="4">
        <v>1</v>
      </c>
      <c r="V67" s="3">
        <f ca="1">T67 * (1 +LOG10(U67)) * (1 + (S67 / 90))</f>
        <v>349.97999999999996</v>
      </c>
    </row>
    <row r="68" spans="1:22" hidden="1" x14ac:dyDescent="0.25">
      <c r="A68" s="3" t="s">
        <v>182</v>
      </c>
      <c r="B68" s="3" t="s">
        <v>183</v>
      </c>
      <c r="C68" s="3" t="s">
        <v>184</v>
      </c>
      <c r="D68" s="3" t="s">
        <v>29</v>
      </c>
      <c r="E68" s="3" t="s">
        <v>44</v>
      </c>
      <c r="F68" s="3" t="s">
        <v>187</v>
      </c>
      <c r="G68" s="3" t="s">
        <v>46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idden="1" x14ac:dyDescent="0.25">
      <c r="A69" s="4" t="s">
        <v>182</v>
      </c>
      <c r="B69" s="4" t="s">
        <v>183</v>
      </c>
      <c r="C69" s="4" t="s">
        <v>184</v>
      </c>
      <c r="D69" s="4" t="s">
        <v>29</v>
      </c>
      <c r="E69" s="4" t="s">
        <v>44</v>
      </c>
      <c r="F69" s="4" t="s">
        <v>188</v>
      </c>
      <c r="G69" s="4" t="s">
        <v>46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1:22" hidden="1" x14ac:dyDescent="0.25">
      <c r="A70" s="3" t="s">
        <v>182</v>
      </c>
      <c r="B70" s="3" t="s">
        <v>183</v>
      </c>
      <c r="C70" s="3" t="s">
        <v>184</v>
      </c>
      <c r="D70" s="3" t="s">
        <v>29</v>
      </c>
      <c r="E70" s="3" t="s">
        <v>44</v>
      </c>
      <c r="F70" s="3" t="s">
        <v>189</v>
      </c>
      <c r="G70" s="3" t="s">
        <v>46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idden="1" x14ac:dyDescent="0.25">
      <c r="A71" s="4" t="s">
        <v>190</v>
      </c>
      <c r="B71" s="4" t="s">
        <v>191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1:22" hidden="1" x14ac:dyDescent="0.25">
      <c r="A72" s="3" t="s">
        <v>192</v>
      </c>
      <c r="B72" s="4" t="s">
        <v>193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1:22" hidden="1" x14ac:dyDescent="0.25">
      <c r="A73" s="4" t="s">
        <v>194</v>
      </c>
      <c r="B73" s="4" t="s">
        <v>195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1:22" hidden="1" x14ac:dyDescent="0.25">
      <c r="A74" s="3" t="s">
        <v>196</v>
      </c>
      <c r="B74" s="3" t="s">
        <v>197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idden="1" x14ac:dyDescent="0.25">
      <c r="A75" s="4" t="s">
        <v>198</v>
      </c>
      <c r="B75" s="3" t="s">
        <v>199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idden="1" x14ac:dyDescent="0.25">
      <c r="A76" s="3" t="s">
        <v>200</v>
      </c>
      <c r="B76" s="3" t="s">
        <v>201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x14ac:dyDescent="0.25">
      <c r="A77" s="4" t="s">
        <v>202</v>
      </c>
      <c r="B77" s="4" t="s">
        <v>203</v>
      </c>
      <c r="C77" s="4" t="s">
        <v>204</v>
      </c>
      <c r="D77" s="4" t="s">
        <v>29</v>
      </c>
      <c r="E77" s="4" t="s">
        <v>29</v>
      </c>
      <c r="F77" s="4" t="s">
        <v>205</v>
      </c>
      <c r="G77" s="4" t="s">
        <v>46</v>
      </c>
      <c r="H77" s="6" t="s">
        <v>206</v>
      </c>
      <c r="I77" s="4">
        <v>142</v>
      </c>
      <c r="J77" s="4">
        <v>0.5</v>
      </c>
      <c r="K77" s="4">
        <v>12</v>
      </c>
      <c r="L77" s="4">
        <v>5</v>
      </c>
      <c r="M77" s="4">
        <v>0</v>
      </c>
      <c r="N77" s="4">
        <v>1</v>
      </c>
      <c r="O77" s="4">
        <v>1</v>
      </c>
      <c r="P77" s="3">
        <f>(IF(I77=0, 0, IF(I77&lt;=100, 1, IF(I77&lt;=1000, 3, IF(I77&lt;=10000, 6, 10)))) * (1 + J77)) * ((1 + IF(K77&lt;=20, 1, IF(K77&lt;=40, 3, 5)) + IF(L77&lt;=4, 2, IF(L77&lt;=6, 4, 6)) + M77*5) * (N77*O77))</f>
        <v>27</v>
      </c>
      <c r="Q77" s="10">
        <v>45978</v>
      </c>
      <c r="R77" s="10">
        <v>45702</v>
      </c>
      <c r="S77" s="3">
        <f ca="1">(IF(R77="", 730, TODAY()-R77) * 1) + (IF(OR(Q77="", R77&gt;Q77), IF(R77="", 730, TODAY()-R77), TODAY()-Q77) * 0.3)</f>
        <v>525.6</v>
      </c>
      <c r="T77" s="3">
        <f>SUMIF(A:A, A77, P:P)</f>
        <v>36</v>
      </c>
      <c r="U77" s="4">
        <v>2</v>
      </c>
      <c r="V77" s="3">
        <f ca="1">T77 * (1 +LOG10(U77)) * (1 + (S77 / 90))</f>
        <v>320.36562613229876</v>
      </c>
    </row>
    <row r="78" spans="1:22" x14ac:dyDescent="0.25">
      <c r="A78" s="3" t="s">
        <v>202</v>
      </c>
      <c r="B78" s="3" t="s">
        <v>203</v>
      </c>
      <c r="C78" s="3" t="s">
        <v>204</v>
      </c>
      <c r="D78" s="3" t="s">
        <v>29</v>
      </c>
      <c r="E78" s="3" t="s">
        <v>29</v>
      </c>
      <c r="F78" s="3" t="s">
        <v>207</v>
      </c>
      <c r="G78" s="3" t="s">
        <v>46</v>
      </c>
      <c r="H78" s="5" t="s">
        <v>206</v>
      </c>
      <c r="I78" s="3">
        <v>33</v>
      </c>
      <c r="J78" s="3">
        <v>0.5</v>
      </c>
      <c r="K78" s="3">
        <v>12</v>
      </c>
      <c r="L78" s="3">
        <v>5</v>
      </c>
      <c r="M78" s="3">
        <v>0</v>
      </c>
      <c r="N78" s="3">
        <v>1</v>
      </c>
      <c r="O78" s="3">
        <v>1</v>
      </c>
      <c r="P78" s="3">
        <f>(IF(I78=0, 0, IF(I78&lt;=100, 1, IF(I78&lt;=1000, 3, IF(I78&lt;=10000, 6, 10)))) * (1 + J78)) * ((1 + IF(K78&lt;=20, 1, IF(K78&lt;=40, 3, 5)) + IF(L78&lt;=4, 2, IF(L78&lt;=6, 4, 6)) + M78*5) * (N78*O78))</f>
        <v>9</v>
      </c>
      <c r="Q78" s="9">
        <v>45841</v>
      </c>
      <c r="R78" s="9">
        <v>45702</v>
      </c>
      <c r="S78" s="3">
        <f ca="1">(IF(R78="", 730, TODAY()-R78) * 1) + (IF(OR(Q78="", R78&gt;Q78), IF(R78="", 730, TODAY()-R78), TODAY()-Q78) * 0.3)</f>
        <v>566.70000000000005</v>
      </c>
      <c r="T78" s="3">
        <f>SUMIF(A:A, A78, P:P)</f>
        <v>36</v>
      </c>
      <c r="U78" s="3">
        <v>2</v>
      </c>
      <c r="V78" s="3">
        <f ca="1">T78 * (1 +LOG10(U78)) * (1 + (S78 / 90))</f>
        <v>341.75455926101461</v>
      </c>
    </row>
    <row r="79" spans="1:22" hidden="1" x14ac:dyDescent="0.25">
      <c r="A79" s="4" t="s">
        <v>208</v>
      </c>
      <c r="B79" s="3" t="s">
        <v>209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idden="1" x14ac:dyDescent="0.25">
      <c r="A80" s="3" t="s">
        <v>210</v>
      </c>
      <c r="B80" s="4" t="s">
        <v>211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1:22" x14ac:dyDescent="0.25">
      <c r="A81" s="4" t="s">
        <v>212</v>
      </c>
      <c r="B81" s="4" t="s">
        <v>213</v>
      </c>
      <c r="C81" s="4" t="s">
        <v>214</v>
      </c>
      <c r="D81" s="4" t="s">
        <v>29</v>
      </c>
      <c r="E81" s="4" t="s">
        <v>29</v>
      </c>
      <c r="F81" s="4" t="s">
        <v>215</v>
      </c>
      <c r="G81" s="4" t="s">
        <v>216</v>
      </c>
      <c r="H81" s="6" t="s">
        <v>217</v>
      </c>
      <c r="I81" s="4">
        <v>674</v>
      </c>
      <c r="J81" s="4">
        <v>0.5</v>
      </c>
      <c r="K81" s="4">
        <v>28</v>
      </c>
      <c r="L81" s="4">
        <v>2</v>
      </c>
      <c r="M81" s="4">
        <v>0</v>
      </c>
      <c r="N81" s="4">
        <v>1</v>
      </c>
      <c r="O81" s="4">
        <v>1</v>
      </c>
      <c r="P81" s="3">
        <f>(IF(I81=0, 0, IF(I81&lt;=100, 1, IF(I81&lt;=1000, 3, IF(I81&lt;=10000, 6, 10)))) * (1 + J81)) * ((1 + IF(K81&lt;=20, 1, IF(K81&lt;=40, 3, 5)) + IF(L81&lt;=4, 2, IF(L81&lt;=6, 4, 6)) + M81*5) * (N81*O81))</f>
        <v>27</v>
      </c>
      <c r="Q81" s="10"/>
      <c r="R81" s="10">
        <v>45954</v>
      </c>
      <c r="S81" s="3">
        <f ca="1">(IF(R81="", 730, TODAY()-R81) * 1) + (IF(OR(Q81="", R81&gt;Q81), IF(R81="", 730, TODAY()-R81), TODAY()-Q81) * 0.3)</f>
        <v>280.8</v>
      </c>
      <c r="T81" s="3">
        <f>SUMIF(A:A, A81, P:P)</f>
        <v>36</v>
      </c>
      <c r="U81" s="4">
        <v>2</v>
      </c>
      <c r="V81" s="3">
        <f ca="1">T81 * (1 +LOG10(U81)) * (1 + (S81 / 90))</f>
        <v>192.96876895688172</v>
      </c>
    </row>
    <row r="82" spans="1:22" x14ac:dyDescent="0.25">
      <c r="A82" s="3" t="s">
        <v>212</v>
      </c>
      <c r="B82" s="3" t="s">
        <v>213</v>
      </c>
      <c r="C82" s="3" t="s">
        <v>214</v>
      </c>
      <c r="D82" s="3" t="s">
        <v>29</v>
      </c>
      <c r="E82" s="3" t="s">
        <v>29</v>
      </c>
      <c r="F82" s="3" t="s">
        <v>218</v>
      </c>
      <c r="G82" s="3" t="s">
        <v>216</v>
      </c>
      <c r="H82" s="5" t="s">
        <v>217</v>
      </c>
      <c r="I82" s="3">
        <v>65</v>
      </c>
      <c r="J82" s="3">
        <v>0.5</v>
      </c>
      <c r="K82" s="3">
        <v>28</v>
      </c>
      <c r="L82" s="3">
        <v>2</v>
      </c>
      <c r="M82" s="3">
        <v>0</v>
      </c>
      <c r="N82" s="3">
        <v>1</v>
      </c>
      <c r="O82" s="3">
        <v>1</v>
      </c>
      <c r="P82" s="3">
        <f>(IF(I82=0, 0, IF(I82&lt;=100, 1, IF(I82&lt;=1000, 3, IF(I82&lt;=10000, 6, 10)))) * (1 + J82)) * ((1 + IF(K82&lt;=20, 1, IF(K82&lt;=40, 3, 5)) + IF(L82&lt;=4, 2, IF(L82&lt;=6, 4, 6)) + M82*5) * (N82*O82))</f>
        <v>9</v>
      </c>
      <c r="Q82" s="9"/>
      <c r="R82" s="9">
        <v>45954</v>
      </c>
      <c r="S82" s="3">
        <f ca="1">(IF(R82="", 730, TODAY()-R82) * 1) + (IF(OR(Q82="", R82&gt;Q82), IF(R82="", 730, TODAY()-R82), TODAY()-Q82) * 0.3)</f>
        <v>280.8</v>
      </c>
      <c r="T82" s="3">
        <f>SUMIF(A:A, A82, P:P)</f>
        <v>36</v>
      </c>
      <c r="U82" s="3">
        <v>2</v>
      </c>
      <c r="V82" s="3">
        <f ca="1">T82 * (1 +LOG10(U82)) * (1 + (S82 / 90))</f>
        <v>192.96876895688172</v>
      </c>
    </row>
    <row r="83" spans="1:22" hidden="1" x14ac:dyDescent="0.25">
      <c r="A83" s="4" t="s">
        <v>219</v>
      </c>
      <c r="B83" s="3" t="s">
        <v>220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idden="1" x14ac:dyDescent="0.25">
      <c r="A84" s="3" t="s">
        <v>221</v>
      </c>
      <c r="B84" s="3" t="s">
        <v>222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x14ac:dyDescent="0.25">
      <c r="A85" s="4" t="s">
        <v>223</v>
      </c>
      <c r="B85" s="4" t="s">
        <v>224</v>
      </c>
      <c r="C85" s="4" t="s">
        <v>225</v>
      </c>
      <c r="D85" s="4" t="s">
        <v>29</v>
      </c>
      <c r="E85" s="4" t="s">
        <v>29</v>
      </c>
      <c r="F85" s="4" t="s">
        <v>226</v>
      </c>
      <c r="G85" s="4" t="s">
        <v>46</v>
      </c>
      <c r="H85" s="6" t="s">
        <v>227</v>
      </c>
      <c r="I85" s="4">
        <v>630</v>
      </c>
      <c r="J85" s="4">
        <v>0.5</v>
      </c>
      <c r="K85" s="4">
        <v>12</v>
      </c>
      <c r="L85" s="4">
        <v>1</v>
      </c>
      <c r="M85" s="4">
        <v>0</v>
      </c>
      <c r="N85" s="4">
        <v>1</v>
      </c>
      <c r="O85" s="4">
        <v>1</v>
      </c>
      <c r="P85" s="3">
        <f>(IF(I85=0, 0, IF(I85&lt;=100, 1, IF(I85&lt;=1000, 3, IF(I85&lt;=10000, 6, 10)))) * (1 + J85)) * ((1 + IF(K85&lt;=20, 1, IF(K85&lt;=40, 3, 5)) + IF(L85&lt;=4, 2, IF(L85&lt;=6, 4, 6)) + M85*5) * (N85*O85))</f>
        <v>18</v>
      </c>
      <c r="Q85" s="10"/>
      <c r="R85" s="10">
        <v>45866</v>
      </c>
      <c r="S85" s="3">
        <f ca="1">(IF(R85="", 730, TODAY()-R85) * 1) + (IF(OR(Q85="", R85&gt;Q85), IF(R85="", 730, TODAY()-R85), TODAY()-Q85) * 0.3)</f>
        <v>395.2</v>
      </c>
      <c r="T85" s="3">
        <f>SUMIF(A:A, A85, P:P)</f>
        <v>132</v>
      </c>
      <c r="U85" s="4">
        <v>4</v>
      </c>
      <c r="V85" s="3">
        <f ca="1">T85 * (1 +LOG10(U85)) * (1 + (S85 / 90))</f>
        <v>1140.0686114287469</v>
      </c>
    </row>
    <row r="86" spans="1:22" x14ac:dyDescent="0.25">
      <c r="A86" s="3" t="s">
        <v>223</v>
      </c>
      <c r="B86" s="3" t="s">
        <v>224</v>
      </c>
      <c r="C86" s="3" t="s">
        <v>225</v>
      </c>
      <c r="D86" s="3" t="s">
        <v>29</v>
      </c>
      <c r="E86" s="3" t="s">
        <v>29</v>
      </c>
      <c r="F86" s="3" t="s">
        <v>228</v>
      </c>
      <c r="G86" s="3" t="s">
        <v>46</v>
      </c>
      <c r="H86" s="5" t="s">
        <v>227</v>
      </c>
      <c r="I86" s="3">
        <v>150</v>
      </c>
      <c r="J86" s="3">
        <v>0.5</v>
      </c>
      <c r="K86" s="3">
        <v>12</v>
      </c>
      <c r="L86" s="3">
        <v>1</v>
      </c>
      <c r="M86" s="3">
        <v>0</v>
      </c>
      <c r="N86" s="3">
        <v>1</v>
      </c>
      <c r="O86" s="3">
        <v>1</v>
      </c>
      <c r="P86" s="3">
        <f>(IF(I86=0, 0, IF(I86&lt;=100, 1, IF(I86&lt;=1000, 3, IF(I86&lt;=10000, 6, 10)))) * (1 + J86)) * ((1 + IF(K86&lt;=20, 1, IF(K86&lt;=40, 3, 5)) + IF(L86&lt;=4, 2, IF(L86&lt;=6, 4, 6)) + M86*5) * (N86*O86))</f>
        <v>18</v>
      </c>
      <c r="Q86" s="9"/>
      <c r="R86" s="9">
        <v>45866</v>
      </c>
      <c r="S86" s="3">
        <f ca="1">(IF(R86="", 730, TODAY()-R86) * 1) + (IF(OR(Q86="", R86&gt;Q86), IF(R86="", 730, TODAY()-R86), TODAY()-Q86) * 0.3)</f>
        <v>395.2</v>
      </c>
      <c r="T86" s="3">
        <f>SUMIF(A:A, A86, P:P)</f>
        <v>132</v>
      </c>
      <c r="U86" s="3">
        <v>4</v>
      </c>
      <c r="V86" s="3">
        <f ca="1">T86 * (1 +LOG10(U86)) * (1 + (S86 / 90))</f>
        <v>1140.0686114287469</v>
      </c>
    </row>
    <row r="87" spans="1:22" x14ac:dyDescent="0.25">
      <c r="A87" s="4" t="s">
        <v>223</v>
      </c>
      <c r="B87" s="4" t="s">
        <v>224</v>
      </c>
      <c r="C87" s="4" t="s">
        <v>225</v>
      </c>
      <c r="D87" s="4" t="s">
        <v>29</v>
      </c>
      <c r="E87" s="4" t="s">
        <v>29</v>
      </c>
      <c r="F87" s="4" t="s">
        <v>229</v>
      </c>
      <c r="G87" s="4" t="s">
        <v>46</v>
      </c>
      <c r="H87" s="6" t="s">
        <v>227</v>
      </c>
      <c r="I87" s="4">
        <v>11595</v>
      </c>
      <c r="J87" s="4">
        <v>0.5</v>
      </c>
      <c r="K87" s="4">
        <v>12</v>
      </c>
      <c r="L87" s="4">
        <v>1</v>
      </c>
      <c r="M87" s="4">
        <v>0</v>
      </c>
      <c r="N87" s="4">
        <v>1</v>
      </c>
      <c r="O87" s="4">
        <v>1</v>
      </c>
      <c r="P87" s="3">
        <f>(IF(I87=0, 0, IF(I87&lt;=100, 1, IF(I87&lt;=1000, 3, IF(I87&lt;=10000, 6, 10)))) * (1 + J87)) * ((1 + IF(K87&lt;=20, 1, IF(K87&lt;=40, 3, 5)) + IF(L87&lt;=4, 2, IF(L87&lt;=6, 4, 6)) + M87*5) * (N87*O87))</f>
        <v>60</v>
      </c>
      <c r="Q87" s="10"/>
      <c r="R87" s="10">
        <v>45866</v>
      </c>
      <c r="S87" s="3">
        <f ca="1">(IF(R87="", 730, TODAY()-R87) * 1) + (IF(OR(Q87="", R87&gt;Q87), IF(R87="", 730, TODAY()-R87), TODAY()-Q87) * 0.3)</f>
        <v>395.2</v>
      </c>
      <c r="T87" s="3">
        <f>SUMIF(A:A, A87, P:P)</f>
        <v>132</v>
      </c>
      <c r="U87" s="4">
        <v>4</v>
      </c>
      <c r="V87" s="3">
        <f ca="1">T87 * (1 +LOG10(U87)) * (1 + (S87 / 90))</f>
        <v>1140.0686114287469</v>
      </c>
    </row>
    <row r="88" spans="1:22" x14ac:dyDescent="0.25">
      <c r="A88" s="3" t="s">
        <v>223</v>
      </c>
      <c r="B88" s="3" t="s">
        <v>224</v>
      </c>
      <c r="C88" s="3" t="s">
        <v>225</v>
      </c>
      <c r="D88" s="3" t="s">
        <v>29</v>
      </c>
      <c r="E88" s="3" t="s">
        <v>29</v>
      </c>
      <c r="F88" s="3" t="s">
        <v>230</v>
      </c>
      <c r="G88" s="3" t="s">
        <v>46</v>
      </c>
      <c r="H88" s="5" t="s">
        <v>227</v>
      </c>
      <c r="I88" s="3">
        <v>1583</v>
      </c>
      <c r="J88" s="3">
        <v>0.5</v>
      </c>
      <c r="K88" s="3">
        <v>12</v>
      </c>
      <c r="L88" s="3">
        <v>1</v>
      </c>
      <c r="M88" s="3">
        <v>0</v>
      </c>
      <c r="N88" s="3">
        <v>1</v>
      </c>
      <c r="O88" s="3">
        <v>1</v>
      </c>
      <c r="P88" s="3">
        <f>(IF(I88=0, 0, IF(I88&lt;=100, 1, IF(I88&lt;=1000, 3, IF(I88&lt;=10000, 6, 10)))) * (1 + J88)) * ((1 + IF(K88&lt;=20, 1, IF(K88&lt;=40, 3, 5)) + IF(L88&lt;=4, 2, IF(L88&lt;=6, 4, 6)) + M88*5) * (N88*O88))</f>
        <v>36</v>
      </c>
      <c r="Q88" s="9"/>
      <c r="R88" s="9">
        <v>45866</v>
      </c>
      <c r="S88" s="3">
        <f ca="1">(IF(R88="", 730, TODAY()-R88) * 1) + (IF(OR(Q88="", R88&gt;Q88), IF(R88="", 730, TODAY()-R88), TODAY()-Q88) * 0.3)</f>
        <v>395.2</v>
      </c>
      <c r="T88" s="3">
        <f>SUMIF(A:A, A88, P:P)</f>
        <v>132</v>
      </c>
      <c r="U88" s="3">
        <v>4</v>
      </c>
      <c r="V88" s="3">
        <f ca="1">T88 * (1 +LOG10(U88)) * (1 + (S88 / 90))</f>
        <v>1140.0686114287469</v>
      </c>
    </row>
    <row r="89" spans="1:22" hidden="1" x14ac:dyDescent="0.25">
      <c r="A89" s="4" t="s">
        <v>231</v>
      </c>
      <c r="B89" s="4" t="s">
        <v>232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spans="1:22" hidden="1" x14ac:dyDescent="0.25">
      <c r="A90" s="3" t="s">
        <v>233</v>
      </c>
      <c r="B90" s="3" t="s">
        <v>234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idden="1" x14ac:dyDescent="0.25">
      <c r="A91" s="4" t="s">
        <v>235</v>
      </c>
      <c r="B91" s="3" t="s">
        <v>236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idden="1" x14ac:dyDescent="0.25">
      <c r="A92" s="3" t="s">
        <v>237</v>
      </c>
      <c r="B92" s="3" t="s">
        <v>238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x14ac:dyDescent="0.25">
      <c r="A93" s="4" t="s">
        <v>239</v>
      </c>
      <c r="B93" s="4" t="s">
        <v>240</v>
      </c>
      <c r="C93" s="4" t="s">
        <v>241</v>
      </c>
      <c r="D93" s="4" t="s">
        <v>29</v>
      </c>
      <c r="E93" s="4" t="s">
        <v>29</v>
      </c>
      <c r="F93" s="4" t="s">
        <v>242</v>
      </c>
      <c r="G93" s="4" t="s">
        <v>46</v>
      </c>
      <c r="H93" s="6" t="s">
        <v>243</v>
      </c>
      <c r="I93" s="4">
        <v>647</v>
      </c>
      <c r="J93" s="4">
        <v>0.5</v>
      </c>
      <c r="K93" s="4">
        <v>13</v>
      </c>
      <c r="L93" s="4">
        <v>2</v>
      </c>
      <c r="M93" s="4">
        <v>0</v>
      </c>
      <c r="N93" s="4">
        <v>1</v>
      </c>
      <c r="O93" s="4">
        <v>1</v>
      </c>
      <c r="P93" s="3">
        <f>(IF(I93=0, 0, IF(I93&lt;=100, 1, IF(I93&lt;=1000, 3, IF(I93&lt;=10000, 6, 10)))) * (1 + J93)) * ((1 + IF(K93&lt;=20, 1, IF(K93&lt;=40, 3, 5)) + IF(L93&lt;=4, 2, IF(L93&lt;=6, 4, 6)) + M93*5) * (N93*O93))</f>
        <v>18</v>
      </c>
      <c r="Q93" s="10"/>
      <c r="R93" s="10">
        <v>45827</v>
      </c>
      <c r="S93" s="3">
        <f ca="1">(IF(R93="", 730, TODAY()-R93) * 1) + (IF(OR(Q93="", R93&gt;Q93), IF(R93="", 730, TODAY()-R93), TODAY()-Q93) * 0.3)</f>
        <v>445.9</v>
      </c>
      <c r="T93" s="3">
        <f>SUMIF(A:A, A93, P:P)</f>
        <v>18</v>
      </c>
      <c r="U93" s="4">
        <v>1</v>
      </c>
      <c r="V93" s="3">
        <f ca="1">T93 * (1 +LOG10(U93)) * (1 + (S93 / 90))</f>
        <v>107.18</v>
      </c>
    </row>
    <row r="94" spans="1:22" hidden="1" x14ac:dyDescent="0.25">
      <c r="A94" s="3" t="s">
        <v>239</v>
      </c>
      <c r="B94" s="3" t="s">
        <v>240</v>
      </c>
      <c r="C94" s="3" t="s">
        <v>241</v>
      </c>
      <c r="D94" s="3" t="s">
        <v>29</v>
      </c>
      <c r="E94" s="3" t="s">
        <v>44</v>
      </c>
      <c r="F94" s="3" t="s">
        <v>244</v>
      </c>
      <c r="G94" s="3" t="s">
        <v>46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idden="1" x14ac:dyDescent="0.25">
      <c r="A95" s="4" t="s">
        <v>245</v>
      </c>
      <c r="B95" s="3" t="s">
        <v>246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idden="1" x14ac:dyDescent="0.25">
      <c r="A96" s="3" t="s">
        <v>247</v>
      </c>
      <c r="B96" s="4" t="s">
        <v>248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1:22" hidden="1" x14ac:dyDescent="0.25">
      <c r="A97" s="4" t="s">
        <v>249</v>
      </c>
      <c r="B97" s="4" t="s">
        <v>250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1:22" hidden="1" x14ac:dyDescent="0.25">
      <c r="A98" s="3" t="s">
        <v>251</v>
      </c>
      <c r="B98" s="3" t="s">
        <v>252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idden="1" x14ac:dyDescent="0.25">
      <c r="A99" s="4" t="s">
        <v>253</v>
      </c>
      <c r="B99" s="3" t="s">
        <v>254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idden="1" x14ac:dyDescent="0.25">
      <c r="A100" s="3" t="s">
        <v>255</v>
      </c>
      <c r="B100" s="4" t="s">
        <v>256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1:22" hidden="1" x14ac:dyDescent="0.25">
      <c r="A101" s="4" t="s">
        <v>257</v>
      </c>
      <c r="B101" s="3" t="s">
        <v>258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x14ac:dyDescent="0.25">
      <c r="A102" s="3" t="s">
        <v>259</v>
      </c>
      <c r="B102" s="4" t="s">
        <v>260</v>
      </c>
      <c r="C102" s="4" t="s">
        <v>261</v>
      </c>
      <c r="D102" s="4" t="s">
        <v>29</v>
      </c>
      <c r="E102" s="4" t="s">
        <v>29</v>
      </c>
      <c r="F102" s="4" t="s">
        <v>262</v>
      </c>
      <c r="G102" s="4" t="s">
        <v>146</v>
      </c>
      <c r="H102" s="6" t="s">
        <v>263</v>
      </c>
      <c r="I102" s="4">
        <v>36447</v>
      </c>
      <c r="J102" s="4">
        <v>0.5</v>
      </c>
      <c r="K102" s="4">
        <v>7</v>
      </c>
      <c r="L102" s="4">
        <v>2</v>
      </c>
      <c r="M102" s="4">
        <v>0</v>
      </c>
      <c r="N102" s="4">
        <v>1.5</v>
      </c>
      <c r="O102" s="4">
        <v>1</v>
      </c>
      <c r="P102" s="3">
        <f>(IF(I102=0, 0, IF(I102&lt;=100, 1, IF(I102&lt;=1000, 3, IF(I102&lt;=10000, 6, 10)))) * (1 + J102)) * ((1 + IF(K102&lt;=20, 1, IF(K102&lt;=40, 3, 5)) + IF(L102&lt;=4, 2, IF(L102&lt;=6, 4, 6)) + M102*5) * (N102*O102))</f>
        <v>90</v>
      </c>
      <c r="Q102" s="10">
        <v>46126</v>
      </c>
      <c r="R102" s="10">
        <v>46126</v>
      </c>
      <c r="S102" s="3">
        <f ca="1">(IF(R102="", 730, TODAY()-R102) * 1) + (IF(OR(Q102="", R102&gt;Q102), IF(R102="", 730, TODAY()-R102), TODAY()-Q102) * 0.3)</f>
        <v>57.2</v>
      </c>
      <c r="T102" s="3">
        <f>SUMIF(A:A, A102, P:P)</f>
        <v>90</v>
      </c>
      <c r="U102" s="4">
        <v>1</v>
      </c>
      <c r="V102" s="3">
        <f ca="1">T102 * (1 +LOG10(U102)) * (1 + (S102 / 90))</f>
        <v>147.19999999999999</v>
      </c>
    </row>
    <row r="103" spans="1:22" hidden="1" x14ac:dyDescent="0.25">
      <c r="A103" s="4" t="s">
        <v>259</v>
      </c>
      <c r="B103" s="3" t="s">
        <v>260</v>
      </c>
      <c r="C103" s="3" t="s">
        <v>261</v>
      </c>
      <c r="D103" s="3" t="s">
        <v>29</v>
      </c>
      <c r="E103" s="3" t="s">
        <v>44</v>
      </c>
      <c r="F103" s="3" t="s">
        <v>264</v>
      </c>
      <c r="G103" s="3" t="s">
        <v>146</v>
      </c>
      <c r="H103" s="5" t="s">
        <v>265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idden="1" x14ac:dyDescent="0.25">
      <c r="A104" s="3" t="s">
        <v>266</v>
      </c>
      <c r="B104" s="4" t="s">
        <v>267</v>
      </c>
      <c r="C104" s="4" t="s">
        <v>268</v>
      </c>
      <c r="D104" s="4" t="s">
        <v>44</v>
      </c>
      <c r="E104" s="4" t="s">
        <v>44</v>
      </c>
      <c r="F104" s="4" t="s">
        <v>269</v>
      </c>
      <c r="G104" s="4" t="s">
        <v>46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1:22" hidden="1" x14ac:dyDescent="0.25">
      <c r="A105" s="4" t="s">
        <v>270</v>
      </c>
      <c r="B105" s="3" t="s">
        <v>271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idden="1" x14ac:dyDescent="0.25">
      <c r="A106" s="3" t="s">
        <v>272</v>
      </c>
      <c r="B106" s="3" t="s">
        <v>273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idden="1" x14ac:dyDescent="0.25">
      <c r="A107" s="4" t="s">
        <v>274</v>
      </c>
      <c r="B107" s="4" t="s">
        <v>275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1:22" x14ac:dyDescent="0.25">
      <c r="A108" s="3" t="s">
        <v>276</v>
      </c>
      <c r="B108" s="3" t="s">
        <v>277</v>
      </c>
      <c r="C108" s="3" t="s">
        <v>278</v>
      </c>
      <c r="D108" s="3" t="s">
        <v>29</v>
      </c>
      <c r="E108" s="3" t="s">
        <v>29</v>
      </c>
      <c r="F108" s="3" t="s">
        <v>279</v>
      </c>
      <c r="G108" s="3" t="s">
        <v>46</v>
      </c>
      <c r="H108" s="5" t="s">
        <v>280</v>
      </c>
      <c r="I108" s="3">
        <v>518</v>
      </c>
      <c r="J108" s="3">
        <v>0.5</v>
      </c>
      <c r="K108" s="3">
        <v>10</v>
      </c>
      <c r="L108" s="3">
        <v>4</v>
      </c>
      <c r="M108" s="3">
        <v>0</v>
      </c>
      <c r="N108" s="3">
        <v>1</v>
      </c>
      <c r="O108" s="3">
        <v>1</v>
      </c>
      <c r="P108" s="3">
        <f>(IF(I108=0, 0, IF(I108&lt;=100, 1, IF(I108&lt;=1000, 3, IF(I108&lt;=10000, 6, 10)))) * (1 + J108)) * ((1 + IF(K108&lt;=20, 1, IF(K108&lt;=40, 3, 5)) + IF(L108&lt;=4, 2, IF(L108&lt;=6, 4, 6)) + M108*5) * (N108*O108))</f>
        <v>18</v>
      </c>
      <c r="Q108" s="9"/>
      <c r="R108" s="9">
        <v>45875</v>
      </c>
      <c r="S108" s="3">
        <f ca="1">(IF(R108="", 730, TODAY()-R108) * 1) + (IF(OR(Q108="", R108&gt;Q108), IF(R108="", 730, TODAY()-R108), TODAY()-Q108) * 0.3)</f>
        <v>383.5</v>
      </c>
      <c r="T108" s="3">
        <f>SUMIF(A:A, A108, P:P)</f>
        <v>30</v>
      </c>
      <c r="U108" s="3">
        <v>3</v>
      </c>
      <c r="V108" s="3">
        <f ca="1">T108 * (1 +LOG10(U108)) * (1 + (S108 / 90))</f>
        <v>233.13897136992003</v>
      </c>
    </row>
    <row r="109" spans="1:22" x14ac:dyDescent="0.25">
      <c r="A109" s="4" t="s">
        <v>276</v>
      </c>
      <c r="B109" s="4" t="s">
        <v>277</v>
      </c>
      <c r="C109" s="4" t="s">
        <v>278</v>
      </c>
      <c r="D109" s="4" t="s">
        <v>29</v>
      </c>
      <c r="E109" s="4" t="s">
        <v>29</v>
      </c>
      <c r="F109" s="4" t="s">
        <v>281</v>
      </c>
      <c r="G109" s="4" t="s">
        <v>46</v>
      </c>
      <c r="H109" s="6" t="s">
        <v>280</v>
      </c>
      <c r="I109" s="4">
        <v>12</v>
      </c>
      <c r="J109" s="4">
        <v>0.5</v>
      </c>
      <c r="K109" s="4">
        <v>10</v>
      </c>
      <c r="L109" s="4">
        <v>3</v>
      </c>
      <c r="M109" s="4">
        <v>0</v>
      </c>
      <c r="N109" s="4">
        <v>1</v>
      </c>
      <c r="O109" s="4">
        <v>1</v>
      </c>
      <c r="P109" s="3">
        <f>(IF(I109=0, 0, IF(I109&lt;=100, 1, IF(I109&lt;=1000, 3, IF(I109&lt;=10000, 6, 10)))) * (1 + J109)) * ((1 + IF(K109&lt;=20, 1, IF(K109&lt;=40, 3, 5)) + IF(L109&lt;=4, 2, IF(L109&lt;=6, 4, 6)) + M109*5) * (N109*O109))</f>
        <v>6</v>
      </c>
      <c r="Q109" s="10"/>
      <c r="R109" s="10">
        <v>45875</v>
      </c>
      <c r="S109" s="3">
        <f ca="1">(IF(R109="", 730, TODAY()-R109) * 1) + (IF(OR(Q109="", R109&gt;Q109), IF(R109="", 730, TODAY()-R109), TODAY()-Q109) * 0.3)</f>
        <v>383.5</v>
      </c>
      <c r="T109" s="3">
        <f>SUMIF(A:A, A109, P:P)</f>
        <v>30</v>
      </c>
      <c r="U109" s="4">
        <v>3</v>
      </c>
      <c r="V109" s="3">
        <f ca="1">T109 * (1 +LOG10(U109)) * (1 + (S109 / 90))</f>
        <v>233.13897136992003</v>
      </c>
    </row>
    <row r="110" spans="1:22" x14ac:dyDescent="0.25">
      <c r="A110" s="3" t="s">
        <v>276</v>
      </c>
      <c r="B110" s="3" t="s">
        <v>277</v>
      </c>
      <c r="C110" s="3" t="s">
        <v>278</v>
      </c>
      <c r="D110" s="3" t="s">
        <v>29</v>
      </c>
      <c r="E110" s="3" t="s">
        <v>29</v>
      </c>
      <c r="F110" s="3" t="s">
        <v>282</v>
      </c>
      <c r="G110" s="3" t="s">
        <v>46</v>
      </c>
      <c r="H110" s="5" t="s">
        <v>280</v>
      </c>
      <c r="I110" s="3">
        <v>1</v>
      </c>
      <c r="J110" s="3">
        <v>0.5</v>
      </c>
      <c r="K110" s="3">
        <v>10</v>
      </c>
      <c r="L110" s="3">
        <v>3</v>
      </c>
      <c r="M110" s="3">
        <v>0</v>
      </c>
      <c r="N110" s="3">
        <v>1</v>
      </c>
      <c r="O110" s="3">
        <v>1</v>
      </c>
      <c r="P110" s="3">
        <f>(IF(I110=0, 0, IF(I110&lt;=100, 1, IF(I110&lt;=1000, 3, IF(I110&lt;=10000, 6, 10)))) * (1 + J110)) * ((1 + IF(K110&lt;=20, 1, IF(K110&lt;=40, 3, 5)) + IF(L110&lt;=4, 2, IF(L110&lt;=6, 4, 6)) + M110*5) * (N110*O110))</f>
        <v>6</v>
      </c>
      <c r="Q110" s="9"/>
      <c r="R110" s="9">
        <v>45875</v>
      </c>
      <c r="S110" s="3">
        <f ca="1">(IF(R110="", 730, TODAY()-R110) * 1) + (IF(OR(Q110="", R110&gt;Q110), IF(R110="", 730, TODAY()-R110), TODAY()-Q110) * 0.3)</f>
        <v>383.5</v>
      </c>
      <c r="T110" s="3">
        <f>SUMIF(A:A, A110, P:P)</f>
        <v>30</v>
      </c>
      <c r="U110" s="3">
        <v>3</v>
      </c>
      <c r="V110" s="3">
        <f ca="1">T110 * (1 +LOG10(U110)) * (1 + (S110 / 90))</f>
        <v>233.13897136992003</v>
      </c>
    </row>
    <row r="111" spans="1:22" hidden="1" x14ac:dyDescent="0.25">
      <c r="A111" s="4" t="s">
        <v>283</v>
      </c>
      <c r="B111" s="4" t="s">
        <v>284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1:22" hidden="1" x14ac:dyDescent="0.25">
      <c r="A112" s="3" t="s">
        <v>285</v>
      </c>
      <c r="B112" s="3" t="s">
        <v>286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idden="1" x14ac:dyDescent="0.25">
      <c r="A113" s="4" t="s">
        <v>287</v>
      </c>
      <c r="B113" s="3" t="s">
        <v>288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idden="1" x14ac:dyDescent="0.25">
      <c r="A114" s="3" t="s">
        <v>289</v>
      </c>
      <c r="B114" s="3" t="s">
        <v>290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idden="1" x14ac:dyDescent="0.25">
      <c r="A115" s="4" t="s">
        <v>291</v>
      </c>
      <c r="B115" s="4" t="s">
        <v>292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1:22" hidden="1" x14ac:dyDescent="0.25">
      <c r="A116" s="3" t="s">
        <v>293</v>
      </c>
      <c r="B116" s="4" t="s">
        <v>294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hidden="1" x14ac:dyDescent="0.25">
      <c r="A117" s="4" t="s">
        <v>295</v>
      </c>
      <c r="B117" s="4" t="s">
        <v>296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1:22" hidden="1" x14ac:dyDescent="0.25">
      <c r="A118" s="3" t="s">
        <v>297</v>
      </c>
      <c r="B118" s="3" t="s">
        <v>298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idden="1" x14ac:dyDescent="0.25">
      <c r="A119" s="4" t="s">
        <v>299</v>
      </c>
      <c r="B119" s="4" t="s">
        <v>300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1:22" hidden="1" x14ac:dyDescent="0.25">
      <c r="A120" s="3" t="s">
        <v>301</v>
      </c>
      <c r="B120" s="4" t="s">
        <v>302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1:22" hidden="1" x14ac:dyDescent="0.25">
      <c r="A121" s="4" t="s">
        <v>303</v>
      </c>
      <c r="B121" s="3" t="s">
        <v>304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idden="1" x14ac:dyDescent="0.25">
      <c r="A122" s="3" t="s">
        <v>305</v>
      </c>
      <c r="B122" s="4" t="s">
        <v>306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1:22" hidden="1" x14ac:dyDescent="0.25">
      <c r="A123" s="4" t="s">
        <v>307</v>
      </c>
      <c r="B123" s="4" t="s">
        <v>308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1:22" hidden="1" x14ac:dyDescent="0.25">
      <c r="A124" s="3" t="s">
        <v>309</v>
      </c>
      <c r="B124" s="4" t="s">
        <v>310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hidden="1" x14ac:dyDescent="0.25">
      <c r="A125" s="4" t="s">
        <v>311</v>
      </c>
      <c r="B125" s="3" t="s">
        <v>312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idden="1" x14ac:dyDescent="0.25">
      <c r="A126" s="3" t="s">
        <v>313</v>
      </c>
      <c r="B126" s="3" t="s">
        <v>314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idden="1" x14ac:dyDescent="0.25">
      <c r="A127" s="4" t="s">
        <v>315</v>
      </c>
      <c r="B127" s="4" t="s">
        <v>316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x14ac:dyDescent="0.25">
      <c r="A128" s="3" t="s">
        <v>317</v>
      </c>
      <c r="B128" s="3" t="s">
        <v>318</v>
      </c>
      <c r="C128" s="3" t="s">
        <v>319</v>
      </c>
      <c r="D128" s="3" t="s">
        <v>29</v>
      </c>
      <c r="E128" s="3" t="s">
        <v>29</v>
      </c>
      <c r="F128" s="3" t="s">
        <v>320</v>
      </c>
      <c r="G128" s="3" t="s">
        <v>321</v>
      </c>
      <c r="H128" s="5" t="s">
        <v>322</v>
      </c>
      <c r="I128" s="3">
        <v>10418</v>
      </c>
      <c r="J128" s="3">
        <v>0.5</v>
      </c>
      <c r="K128" s="3">
        <v>4</v>
      </c>
      <c r="L128" s="3">
        <v>3</v>
      </c>
      <c r="M128" s="3">
        <v>0</v>
      </c>
      <c r="N128" s="3">
        <v>1</v>
      </c>
      <c r="O128" s="3">
        <v>1</v>
      </c>
      <c r="P128" s="3">
        <f>(IF(I128=0, 0, IF(I128&lt;=100, 1, IF(I128&lt;=1000, 3, IF(I128&lt;=10000, 6, 10)))) * (1 + J128)) * ((1 + IF(K128&lt;=20, 1, IF(K128&lt;=40, 3, 5)) + IF(L128&lt;=4, 2, IF(L128&lt;=6, 4, 6)) + M128*5) * (N128*O128))</f>
        <v>60</v>
      </c>
      <c r="Q128" s="9">
        <v>46099</v>
      </c>
      <c r="R128" s="9">
        <v>45813</v>
      </c>
      <c r="S128" s="3">
        <f ca="1">(IF(R128="", 730, TODAY()-R128) * 1) + (IF(OR(Q128="", R128&gt;Q128), IF(R128="", 730, TODAY()-R128), TODAY()-Q128) * 0.3)</f>
        <v>378.3</v>
      </c>
      <c r="T128" s="3">
        <f>SUMIF(A:A, A128, P:P)</f>
        <v>60</v>
      </c>
      <c r="U128" s="3">
        <v>1</v>
      </c>
      <c r="V128" s="3">
        <f ca="1">T128 * (1 +LOG10(U128)) * (1 + (S128 / 90))</f>
        <v>312.2</v>
      </c>
    </row>
    <row r="129" spans="1:22" hidden="1" x14ac:dyDescent="0.25">
      <c r="A129" s="4" t="s">
        <v>317</v>
      </c>
      <c r="B129" s="4" t="s">
        <v>318</v>
      </c>
      <c r="C129" s="4" t="s">
        <v>319</v>
      </c>
      <c r="D129" s="4" t="s">
        <v>29</v>
      </c>
      <c r="E129" s="4" t="s">
        <v>44</v>
      </c>
      <c r="F129" s="4" t="s">
        <v>323</v>
      </c>
      <c r="G129" s="4" t="s">
        <v>321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spans="1:22" hidden="1" x14ac:dyDescent="0.25">
      <c r="A130" s="3" t="s">
        <v>317</v>
      </c>
      <c r="B130" s="3" t="s">
        <v>318</v>
      </c>
      <c r="C130" s="3" t="s">
        <v>319</v>
      </c>
      <c r="D130" s="3" t="s">
        <v>29</v>
      </c>
      <c r="E130" s="3" t="s">
        <v>44</v>
      </c>
      <c r="F130" s="3" t="s">
        <v>324</v>
      </c>
      <c r="G130" s="3" t="s">
        <v>321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idden="1" x14ac:dyDescent="0.25">
      <c r="A131" s="4" t="s">
        <v>325</v>
      </c>
      <c r="B131" s="3" t="s">
        <v>326</v>
      </c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x14ac:dyDescent="0.25">
      <c r="A132" s="3" t="s">
        <v>327</v>
      </c>
      <c r="B132" s="4" t="s">
        <v>328</v>
      </c>
      <c r="C132" s="4" t="s">
        <v>329</v>
      </c>
      <c r="D132" s="4" t="s">
        <v>29</v>
      </c>
      <c r="E132" s="4" t="s">
        <v>29</v>
      </c>
      <c r="F132" s="4" t="s">
        <v>330</v>
      </c>
      <c r="G132" s="4" t="s">
        <v>46</v>
      </c>
      <c r="H132" s="6" t="s">
        <v>331</v>
      </c>
      <c r="I132" s="4">
        <v>890</v>
      </c>
      <c r="J132" s="4">
        <v>0.5</v>
      </c>
      <c r="K132" s="4">
        <v>112</v>
      </c>
      <c r="L132" s="4">
        <v>7</v>
      </c>
      <c r="M132" s="4">
        <v>1</v>
      </c>
      <c r="N132" s="4">
        <v>1.5</v>
      </c>
      <c r="O132" s="4">
        <v>1</v>
      </c>
      <c r="P132" s="3">
        <f t="shared" ref="P132:P138" si="0">(IF(I132=0, 0, IF(I132&lt;=100, 1, IF(I132&lt;=1000, 3, IF(I132&lt;=10000, 6, 10)))) * (1 + J132)) * ((1 + IF(K132&lt;=20, 1, IF(K132&lt;=40, 3, 5)) + IF(L132&lt;=4, 2, IF(L132&lt;=6, 4, 6)) + M132*5) * (N132*O132))</f>
        <v>114.75</v>
      </c>
      <c r="Q132" s="10">
        <v>46029</v>
      </c>
      <c r="R132" s="10"/>
      <c r="S132" s="3">
        <f t="shared" ref="S132:S138" ca="1" si="1">(IF(R132="", 730, TODAY()-R132) * 1) + (IF(OR(Q132="", R132&gt;Q132), IF(R132="", 730, TODAY()-R132), TODAY()-Q132) * 0.3)</f>
        <v>772.3</v>
      </c>
      <c r="T132" s="3">
        <f t="shared" ref="T132:T138" si="2">SUMIF(A:A, A132, P:P)</f>
        <v>634.5</v>
      </c>
      <c r="U132" s="4">
        <v>7</v>
      </c>
      <c r="V132" s="3">
        <f t="shared" ref="V132:V138" ca="1" si="3">T132 * (1 +LOG10(U132)) * (1 + (S132 / 90))</f>
        <v>11216.747681325272</v>
      </c>
    </row>
    <row r="133" spans="1:22" x14ac:dyDescent="0.25">
      <c r="A133" s="4" t="s">
        <v>327</v>
      </c>
      <c r="B133" s="3" t="s">
        <v>328</v>
      </c>
      <c r="C133" s="3" t="s">
        <v>329</v>
      </c>
      <c r="D133" s="3" t="s">
        <v>29</v>
      </c>
      <c r="E133" s="3" t="s">
        <v>29</v>
      </c>
      <c r="F133" s="3" t="s">
        <v>332</v>
      </c>
      <c r="G133" s="3" t="s">
        <v>46</v>
      </c>
      <c r="H133" s="5" t="s">
        <v>331</v>
      </c>
      <c r="I133" s="3">
        <v>51</v>
      </c>
      <c r="J133" s="3">
        <v>0.5</v>
      </c>
      <c r="K133" s="3">
        <v>112</v>
      </c>
      <c r="L133" s="3">
        <v>5</v>
      </c>
      <c r="M133" s="3">
        <v>1</v>
      </c>
      <c r="N133" s="3">
        <v>1.5</v>
      </c>
      <c r="O133" s="3">
        <v>1</v>
      </c>
      <c r="P133" s="3">
        <f t="shared" si="0"/>
        <v>33.75</v>
      </c>
      <c r="Q133" s="9">
        <v>46029</v>
      </c>
      <c r="R133" s="9"/>
      <c r="S133" s="3">
        <f t="shared" ca="1" si="1"/>
        <v>772.3</v>
      </c>
      <c r="T133" s="3">
        <f t="shared" si="2"/>
        <v>634.5</v>
      </c>
      <c r="U133" s="3">
        <v>7</v>
      </c>
      <c r="V133" s="3">
        <f t="shared" ca="1" si="3"/>
        <v>11216.747681325272</v>
      </c>
    </row>
    <row r="134" spans="1:22" x14ac:dyDescent="0.25">
      <c r="A134" s="3" t="s">
        <v>327</v>
      </c>
      <c r="B134" s="4" t="s">
        <v>328</v>
      </c>
      <c r="C134" s="4" t="s">
        <v>329</v>
      </c>
      <c r="D134" s="4" t="s">
        <v>29</v>
      </c>
      <c r="E134" s="4" t="s">
        <v>29</v>
      </c>
      <c r="F134" s="4" t="s">
        <v>333</v>
      </c>
      <c r="G134" s="4" t="s">
        <v>46</v>
      </c>
      <c r="H134" s="6" t="s">
        <v>331</v>
      </c>
      <c r="I134" s="4">
        <v>23</v>
      </c>
      <c r="J134" s="4">
        <v>0.5</v>
      </c>
      <c r="K134" s="4">
        <v>112</v>
      </c>
      <c r="L134" s="4">
        <v>3</v>
      </c>
      <c r="M134" s="4">
        <v>1</v>
      </c>
      <c r="N134" s="4">
        <v>1.5</v>
      </c>
      <c r="O134" s="4">
        <v>1</v>
      </c>
      <c r="P134" s="3">
        <f t="shared" si="0"/>
        <v>29.25</v>
      </c>
      <c r="Q134" s="10">
        <v>46029</v>
      </c>
      <c r="R134" s="10"/>
      <c r="S134" s="3">
        <f t="shared" ca="1" si="1"/>
        <v>772.3</v>
      </c>
      <c r="T134" s="3">
        <f t="shared" si="2"/>
        <v>634.5</v>
      </c>
      <c r="U134" s="4">
        <v>7</v>
      </c>
      <c r="V134" s="3">
        <f t="shared" ca="1" si="3"/>
        <v>11216.747681325272</v>
      </c>
    </row>
    <row r="135" spans="1:22" x14ac:dyDescent="0.25">
      <c r="A135" s="4" t="s">
        <v>327</v>
      </c>
      <c r="B135" s="3" t="s">
        <v>328</v>
      </c>
      <c r="C135" s="3" t="s">
        <v>329</v>
      </c>
      <c r="D135" s="3" t="s">
        <v>29</v>
      </c>
      <c r="E135" s="3" t="s">
        <v>29</v>
      </c>
      <c r="F135" s="3" t="s">
        <v>334</v>
      </c>
      <c r="G135" s="3" t="s">
        <v>46</v>
      </c>
      <c r="H135" s="5" t="s">
        <v>331</v>
      </c>
      <c r="I135" s="3">
        <v>6</v>
      </c>
      <c r="J135" s="3">
        <v>0.5</v>
      </c>
      <c r="K135" s="3">
        <v>112</v>
      </c>
      <c r="L135" s="3">
        <v>2</v>
      </c>
      <c r="M135" s="3">
        <v>0</v>
      </c>
      <c r="N135" s="3">
        <v>1.5</v>
      </c>
      <c r="O135" s="3">
        <v>1</v>
      </c>
      <c r="P135" s="3">
        <f t="shared" si="0"/>
        <v>18</v>
      </c>
      <c r="Q135" s="9">
        <v>46029</v>
      </c>
      <c r="R135" s="9"/>
      <c r="S135" s="3">
        <f t="shared" ca="1" si="1"/>
        <v>772.3</v>
      </c>
      <c r="T135" s="3">
        <f t="shared" si="2"/>
        <v>634.5</v>
      </c>
      <c r="U135" s="3">
        <v>7</v>
      </c>
      <c r="V135" s="3">
        <f t="shared" ca="1" si="3"/>
        <v>11216.747681325272</v>
      </c>
    </row>
    <row r="136" spans="1:22" x14ac:dyDescent="0.25">
      <c r="A136" s="3" t="s">
        <v>327</v>
      </c>
      <c r="B136" s="4" t="s">
        <v>328</v>
      </c>
      <c r="C136" s="4" t="s">
        <v>329</v>
      </c>
      <c r="D136" s="4" t="s">
        <v>29</v>
      </c>
      <c r="E136" s="4" t="s">
        <v>29</v>
      </c>
      <c r="F136" s="4" t="s">
        <v>335</v>
      </c>
      <c r="G136" s="4" t="s">
        <v>46</v>
      </c>
      <c r="H136" s="6" t="s">
        <v>331</v>
      </c>
      <c r="I136" s="4">
        <v>1205</v>
      </c>
      <c r="J136" s="4">
        <v>0.5</v>
      </c>
      <c r="K136" s="4">
        <v>112</v>
      </c>
      <c r="L136" s="4">
        <v>4</v>
      </c>
      <c r="M136" s="4">
        <v>1</v>
      </c>
      <c r="N136" s="4">
        <v>1.5</v>
      </c>
      <c r="O136" s="4">
        <v>1</v>
      </c>
      <c r="P136" s="3">
        <f t="shared" si="0"/>
        <v>175.5</v>
      </c>
      <c r="Q136" s="10">
        <v>46029</v>
      </c>
      <c r="R136" s="10"/>
      <c r="S136" s="3">
        <f t="shared" ca="1" si="1"/>
        <v>772.3</v>
      </c>
      <c r="T136" s="3">
        <f t="shared" si="2"/>
        <v>634.5</v>
      </c>
      <c r="U136" s="4">
        <v>7</v>
      </c>
      <c r="V136" s="3">
        <f t="shared" ca="1" si="3"/>
        <v>11216.747681325272</v>
      </c>
    </row>
    <row r="137" spans="1:22" x14ac:dyDescent="0.25">
      <c r="A137" s="4" t="s">
        <v>327</v>
      </c>
      <c r="B137" s="3" t="s">
        <v>328</v>
      </c>
      <c r="C137" s="3" t="s">
        <v>329</v>
      </c>
      <c r="D137" s="3" t="s">
        <v>29</v>
      </c>
      <c r="E137" s="3" t="s">
        <v>29</v>
      </c>
      <c r="F137" s="3" t="s">
        <v>336</v>
      </c>
      <c r="G137" s="3" t="s">
        <v>46</v>
      </c>
      <c r="H137" s="5" t="s">
        <v>337</v>
      </c>
      <c r="I137" s="3">
        <v>3778</v>
      </c>
      <c r="J137" s="3">
        <v>0.5</v>
      </c>
      <c r="K137" s="3">
        <v>112</v>
      </c>
      <c r="L137" s="3">
        <v>4</v>
      </c>
      <c r="M137" s="3">
        <v>1</v>
      </c>
      <c r="N137" s="3">
        <v>1.5</v>
      </c>
      <c r="O137" s="3">
        <v>1</v>
      </c>
      <c r="P137" s="3">
        <f t="shared" si="0"/>
        <v>175.5</v>
      </c>
      <c r="Q137" s="9">
        <v>46113</v>
      </c>
      <c r="R137" s="9"/>
      <c r="S137" s="3">
        <f t="shared" ca="1" si="1"/>
        <v>747.1</v>
      </c>
      <c r="T137" s="3">
        <f t="shared" si="2"/>
        <v>634.5</v>
      </c>
      <c r="U137" s="3">
        <v>7</v>
      </c>
      <c r="V137" s="3">
        <f t="shared" ca="1" si="3"/>
        <v>10888.94756353634</v>
      </c>
    </row>
    <row r="138" spans="1:22" x14ac:dyDescent="0.25">
      <c r="A138" s="3" t="s">
        <v>327</v>
      </c>
      <c r="B138" s="4" t="s">
        <v>328</v>
      </c>
      <c r="C138" s="4" t="s">
        <v>329</v>
      </c>
      <c r="D138" s="4" t="s">
        <v>29</v>
      </c>
      <c r="E138" s="4" t="s">
        <v>29</v>
      </c>
      <c r="F138" s="4" t="s">
        <v>338</v>
      </c>
      <c r="G138" s="4" t="s">
        <v>46</v>
      </c>
      <c r="H138" s="6" t="s">
        <v>331</v>
      </c>
      <c r="I138" s="4">
        <v>659</v>
      </c>
      <c r="J138" s="4">
        <v>0.5</v>
      </c>
      <c r="K138" s="4">
        <v>112</v>
      </c>
      <c r="L138" s="4">
        <v>4</v>
      </c>
      <c r="M138" s="4">
        <v>1</v>
      </c>
      <c r="N138" s="4">
        <v>1.5</v>
      </c>
      <c r="O138" s="4">
        <v>1</v>
      </c>
      <c r="P138" s="3">
        <f t="shared" si="0"/>
        <v>87.75</v>
      </c>
      <c r="Q138" s="10">
        <v>46029</v>
      </c>
      <c r="R138" s="10"/>
      <c r="S138" s="3">
        <f t="shared" ca="1" si="1"/>
        <v>772.3</v>
      </c>
      <c r="T138" s="3">
        <f t="shared" si="2"/>
        <v>634.5</v>
      </c>
      <c r="U138" s="4">
        <v>7</v>
      </c>
      <c r="V138" s="3">
        <f t="shared" ca="1" si="3"/>
        <v>11216.747681325272</v>
      </c>
    </row>
    <row r="139" spans="1:22" hidden="1" x14ac:dyDescent="0.25">
      <c r="A139" s="4" t="s">
        <v>339</v>
      </c>
      <c r="B139" s="4" t="s">
        <v>340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1:22" hidden="1" x14ac:dyDescent="0.25">
      <c r="A140" s="3" t="s">
        <v>341</v>
      </c>
      <c r="B140" s="3" t="s">
        <v>342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idden="1" x14ac:dyDescent="0.25">
      <c r="A141" s="4" t="s">
        <v>343</v>
      </c>
      <c r="B141" s="3" t="s">
        <v>344</v>
      </c>
      <c r="C141" s="3" t="s">
        <v>345</v>
      </c>
      <c r="D141" s="3" t="s">
        <v>44</v>
      </c>
      <c r="E141" s="3" t="s">
        <v>44</v>
      </c>
      <c r="F141" s="3" t="s">
        <v>346</v>
      </c>
      <c r="G141" s="3" t="s">
        <v>31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idden="1" x14ac:dyDescent="0.25">
      <c r="A142" s="3" t="s">
        <v>343</v>
      </c>
      <c r="B142" s="4" t="s">
        <v>344</v>
      </c>
      <c r="C142" s="4" t="s">
        <v>345</v>
      </c>
      <c r="D142" s="4" t="s">
        <v>44</v>
      </c>
      <c r="E142" s="4" t="s">
        <v>44</v>
      </c>
      <c r="F142" s="4" t="s">
        <v>347</v>
      </c>
      <c r="G142" s="4" t="s">
        <v>31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1:22" hidden="1" x14ac:dyDescent="0.25">
      <c r="A143" s="4" t="s">
        <v>348</v>
      </c>
      <c r="B143" s="3" t="s">
        <v>349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idden="1" x14ac:dyDescent="0.25">
      <c r="A144" s="3" t="s">
        <v>350</v>
      </c>
      <c r="B144" s="3" t="s">
        <v>351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idden="1" x14ac:dyDescent="0.25">
      <c r="A145" s="4" t="s">
        <v>352</v>
      </c>
      <c r="B145" s="4" t="s">
        <v>353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1:22" hidden="1" x14ac:dyDescent="0.25">
      <c r="A146" s="3" t="s">
        <v>354</v>
      </c>
      <c r="B146" s="4" t="s">
        <v>355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1:22" hidden="1" x14ac:dyDescent="0.25">
      <c r="A147" s="4" t="s">
        <v>356</v>
      </c>
      <c r="B147" s="3" t="s">
        <v>357</v>
      </c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idden="1" x14ac:dyDescent="0.25">
      <c r="A148" s="3" t="s">
        <v>358</v>
      </c>
      <c r="B148" s="4" t="s">
        <v>359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1:22" hidden="1" x14ac:dyDescent="0.25">
      <c r="A149" s="4" t="s">
        <v>360</v>
      </c>
      <c r="B149" s="3" t="s">
        <v>361</v>
      </c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idden="1" x14ac:dyDescent="0.25">
      <c r="A150" s="3" t="s">
        <v>362</v>
      </c>
      <c r="B150" s="4" t="s">
        <v>363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1:22" hidden="1" x14ac:dyDescent="0.25">
      <c r="A151" s="4" t="s">
        <v>364</v>
      </c>
      <c r="B151" s="4" t="s">
        <v>365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1:22" x14ac:dyDescent="0.25">
      <c r="A152" s="3" t="s">
        <v>366</v>
      </c>
      <c r="B152" s="3" t="s">
        <v>367</v>
      </c>
      <c r="C152" s="3" t="s">
        <v>368</v>
      </c>
      <c r="D152" s="3" t="s">
        <v>29</v>
      </c>
      <c r="E152" s="3" t="s">
        <v>29</v>
      </c>
      <c r="F152" s="3" t="s">
        <v>369</v>
      </c>
      <c r="G152" s="3" t="s">
        <v>146</v>
      </c>
      <c r="H152" s="5" t="s">
        <v>370</v>
      </c>
      <c r="I152" s="3">
        <v>4507</v>
      </c>
      <c r="J152" s="3">
        <v>0.5</v>
      </c>
      <c r="K152" s="3">
        <v>25</v>
      </c>
      <c r="L152" s="3">
        <v>18</v>
      </c>
      <c r="M152" s="3">
        <v>1</v>
      </c>
      <c r="N152" s="3">
        <v>1</v>
      </c>
      <c r="O152" s="3">
        <v>1</v>
      </c>
      <c r="P152" s="3">
        <f>(IF(I152=0, 0, IF(I152&lt;=100, 1, IF(I152&lt;=1000, 3, IF(I152&lt;=10000, 6, 10)))) * (1 + J152)) * ((1 + IF(K152&lt;=20, 1, IF(K152&lt;=40, 3, 5)) + IF(L152&lt;=4, 2, IF(L152&lt;=6, 4, 6)) + M152*5) * (N152*O152))</f>
        <v>135</v>
      </c>
      <c r="Q152" s="9">
        <v>45982</v>
      </c>
      <c r="R152" s="9">
        <v>45874</v>
      </c>
      <c r="S152" s="3">
        <f ca="1">(IF(R152="", 730, TODAY()-R152) * 1) + (IF(OR(Q152="", R152&gt;Q152), IF(R152="", 730, TODAY()-R152), TODAY()-Q152) * 0.3)</f>
        <v>352.4</v>
      </c>
      <c r="T152" s="3">
        <f>SUMIF(A:A, A152, P:P)</f>
        <v>135</v>
      </c>
      <c r="U152" s="3">
        <v>1</v>
      </c>
      <c r="V152" s="3">
        <f ca="1">T152 * (1 +LOG10(U152)) * (1 + (S152 / 90))</f>
        <v>663.59999999999991</v>
      </c>
    </row>
    <row r="153" spans="1:22" hidden="1" x14ac:dyDescent="0.25">
      <c r="A153" s="4" t="s">
        <v>366</v>
      </c>
      <c r="B153" s="4" t="s">
        <v>367</v>
      </c>
      <c r="C153" s="4" t="s">
        <v>368</v>
      </c>
      <c r="D153" s="4" t="s">
        <v>29</v>
      </c>
      <c r="E153" s="4" t="s">
        <v>44</v>
      </c>
      <c r="F153" s="4" t="s">
        <v>371</v>
      </c>
      <c r="G153" s="4" t="s">
        <v>146</v>
      </c>
      <c r="H153" s="6" t="s">
        <v>372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1:22" hidden="1" x14ac:dyDescent="0.25">
      <c r="A154" s="3" t="s">
        <v>366</v>
      </c>
      <c r="B154" s="3" t="s">
        <v>367</v>
      </c>
      <c r="C154" s="3" t="s">
        <v>368</v>
      </c>
      <c r="D154" s="3" t="s">
        <v>29</v>
      </c>
      <c r="E154" s="3" t="s">
        <v>44</v>
      </c>
      <c r="F154" s="3" t="s">
        <v>373</v>
      </c>
      <c r="G154" s="3" t="s">
        <v>146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idden="1" x14ac:dyDescent="0.25">
      <c r="A155" s="4" t="s">
        <v>366</v>
      </c>
      <c r="B155" s="4" t="s">
        <v>367</v>
      </c>
      <c r="C155" s="4" t="s">
        <v>368</v>
      </c>
      <c r="D155" s="4" t="s">
        <v>29</v>
      </c>
      <c r="E155" s="4" t="s">
        <v>44</v>
      </c>
      <c r="F155" s="4" t="s">
        <v>374</v>
      </c>
      <c r="G155" s="4" t="s">
        <v>146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1:22" hidden="1" x14ac:dyDescent="0.25">
      <c r="A156" s="3" t="s">
        <v>366</v>
      </c>
      <c r="B156" s="4" t="s">
        <v>367</v>
      </c>
      <c r="C156" s="4" t="s">
        <v>368</v>
      </c>
      <c r="D156" s="4" t="s">
        <v>29</v>
      </c>
      <c r="E156" s="4" t="s">
        <v>44</v>
      </c>
      <c r="F156" s="4" t="s">
        <v>375</v>
      </c>
      <c r="G156" s="4" t="s">
        <v>146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1:22" hidden="1" x14ac:dyDescent="0.25">
      <c r="A157" s="4" t="s">
        <v>366</v>
      </c>
      <c r="B157" s="3" t="s">
        <v>367</v>
      </c>
      <c r="C157" s="3" t="s">
        <v>368</v>
      </c>
      <c r="D157" s="3" t="s">
        <v>29</v>
      </c>
      <c r="E157" s="3" t="s">
        <v>44</v>
      </c>
      <c r="F157" s="3" t="s">
        <v>376</v>
      </c>
      <c r="G157" s="3" t="s">
        <v>146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idden="1" x14ac:dyDescent="0.25">
      <c r="A158" s="3" t="s">
        <v>377</v>
      </c>
      <c r="B158" s="3" t="s">
        <v>378</v>
      </c>
      <c r="C158" s="3" t="s">
        <v>379</v>
      </c>
      <c r="D158" s="3" t="s">
        <v>44</v>
      </c>
      <c r="E158" s="3" t="s">
        <v>44</v>
      </c>
      <c r="F158" s="3" t="s">
        <v>380</v>
      </c>
      <c r="G158" s="3" t="s">
        <v>46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idden="1" x14ac:dyDescent="0.25">
      <c r="A159" s="4" t="s">
        <v>377</v>
      </c>
      <c r="B159" s="4" t="s">
        <v>378</v>
      </c>
      <c r="C159" s="4" t="s">
        <v>379</v>
      </c>
      <c r="D159" s="4" t="s">
        <v>44</v>
      </c>
      <c r="E159" s="4" t="s">
        <v>44</v>
      </c>
      <c r="F159" s="4" t="s">
        <v>381</v>
      </c>
      <c r="G159" s="4" t="s">
        <v>46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spans="1:22" hidden="1" x14ac:dyDescent="0.25">
      <c r="A160" s="3" t="s">
        <v>377</v>
      </c>
      <c r="B160" s="3" t="s">
        <v>378</v>
      </c>
      <c r="C160" s="3" t="s">
        <v>379</v>
      </c>
      <c r="D160" s="3" t="s">
        <v>44</v>
      </c>
      <c r="E160" s="3" t="s">
        <v>44</v>
      </c>
      <c r="F160" s="3" t="s">
        <v>382</v>
      </c>
      <c r="G160" s="3" t="s">
        <v>46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x14ac:dyDescent="0.25">
      <c r="A161" s="4" t="s">
        <v>383</v>
      </c>
      <c r="B161" s="3" t="s">
        <v>384</v>
      </c>
      <c r="C161" s="3" t="s">
        <v>385</v>
      </c>
      <c r="D161" s="3" t="s">
        <v>29</v>
      </c>
      <c r="E161" s="3" t="s">
        <v>29</v>
      </c>
      <c r="F161" s="3" t="s">
        <v>386</v>
      </c>
      <c r="G161" s="3" t="s">
        <v>46</v>
      </c>
      <c r="H161" s="5" t="s">
        <v>387</v>
      </c>
      <c r="I161" s="3">
        <v>2288</v>
      </c>
      <c r="J161" s="3">
        <v>0.5</v>
      </c>
      <c r="K161" s="3">
        <v>4</v>
      </c>
      <c r="L161" s="3">
        <v>2</v>
      </c>
      <c r="M161" s="3">
        <v>0</v>
      </c>
      <c r="N161" s="3">
        <v>1</v>
      </c>
      <c r="O161" s="3">
        <v>1</v>
      </c>
      <c r="P161" s="3">
        <f>(IF(I161=0, 0, IF(I161&lt;=100, 1, IF(I161&lt;=1000, 3, IF(I161&lt;=10000, 6, 10)))) * (1 + J161)) * ((1 + IF(K161&lt;=20, 1, IF(K161&lt;=40, 3, 5)) + IF(L161&lt;=4, 2, IF(L161&lt;=6, 4, 6)) + M161*5) * (N161*O161))</f>
        <v>36</v>
      </c>
      <c r="Q161" s="9">
        <v>45813</v>
      </c>
      <c r="R161" s="9">
        <v>45812</v>
      </c>
      <c r="S161" s="3">
        <f ca="1">(IF(R161="", 730, TODAY()-R161) * 1) + (IF(OR(Q161="", R161&gt;Q161), IF(R161="", 730, TODAY()-R161), TODAY()-Q161) * 0.3)</f>
        <v>465.1</v>
      </c>
      <c r="T161" s="3">
        <f>SUMIF(A:A, A161, P:P)</f>
        <v>36</v>
      </c>
      <c r="U161" s="3">
        <v>1</v>
      </c>
      <c r="V161" s="3">
        <f ca="1">T161 * (1 +LOG10(U161)) * (1 + (S161 / 90))</f>
        <v>222.04000000000002</v>
      </c>
    </row>
    <row r="162" spans="1:22" hidden="1" x14ac:dyDescent="0.25">
      <c r="A162" s="3" t="s">
        <v>388</v>
      </c>
      <c r="B162" s="3" t="s">
        <v>389</v>
      </c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idden="1" x14ac:dyDescent="0.25">
      <c r="A163" s="4" t="s">
        <v>390</v>
      </c>
      <c r="B163" s="4" t="s">
        <v>391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spans="1:22" x14ac:dyDescent="0.25">
      <c r="A164" s="3" t="s">
        <v>392</v>
      </c>
      <c r="B164" s="4" t="s">
        <v>393</v>
      </c>
      <c r="C164" s="4" t="s">
        <v>394</v>
      </c>
      <c r="D164" s="4" t="s">
        <v>29</v>
      </c>
      <c r="E164" s="4" t="s">
        <v>29</v>
      </c>
      <c r="F164" s="4" t="s">
        <v>395</v>
      </c>
      <c r="G164" s="4" t="s">
        <v>396</v>
      </c>
      <c r="H164" s="6" t="s">
        <v>397</v>
      </c>
      <c r="I164" s="4">
        <v>19096</v>
      </c>
      <c r="J164" s="4">
        <v>0.5</v>
      </c>
      <c r="K164" s="4">
        <v>38</v>
      </c>
      <c r="L164" s="4">
        <v>2</v>
      </c>
      <c r="M164" s="4">
        <v>0</v>
      </c>
      <c r="N164" s="4">
        <v>1.5</v>
      </c>
      <c r="O164" s="4">
        <v>1</v>
      </c>
      <c r="P164" s="3">
        <f>(IF(I164=0, 0, IF(I164&lt;=100, 1, IF(I164&lt;=1000, 3, IF(I164&lt;=10000, 6, 10)))) * (1 + J164)) * ((1 + IF(K164&lt;=20, 1, IF(K164&lt;=40, 3, 5)) + IF(L164&lt;=4, 2, IF(L164&lt;=6, 4, 6)) + M164*5) * (N164*O164))</f>
        <v>135</v>
      </c>
      <c r="Q164" s="10">
        <v>46128</v>
      </c>
      <c r="R164" s="10">
        <v>46128</v>
      </c>
      <c r="S164" s="3">
        <f ca="1">(IF(R164="", 730, TODAY()-R164) * 1) + (IF(OR(Q164="", R164&gt;Q164), IF(R164="", 730, TODAY()-R164), TODAY()-Q164) * 0.3)</f>
        <v>54.6</v>
      </c>
      <c r="T164" s="3">
        <f>SUMIF(A:A, A164, P:P)</f>
        <v>135</v>
      </c>
      <c r="U164" s="4">
        <v>1</v>
      </c>
      <c r="V164" s="3">
        <f ca="1">T164 * (1 +LOG10(U164)) * (1 + (S164 / 90))</f>
        <v>216.9</v>
      </c>
    </row>
    <row r="165" spans="1:22" hidden="1" x14ac:dyDescent="0.25">
      <c r="A165" s="4" t="s">
        <v>392</v>
      </c>
      <c r="B165" s="3" t="s">
        <v>393</v>
      </c>
      <c r="C165" s="3" t="s">
        <v>394</v>
      </c>
      <c r="D165" s="3" t="s">
        <v>29</v>
      </c>
      <c r="E165" s="3" t="s">
        <v>44</v>
      </c>
      <c r="F165" s="3" t="s">
        <v>398</v>
      </c>
      <c r="G165" s="3" t="s">
        <v>396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idden="1" x14ac:dyDescent="0.25">
      <c r="A166" s="3" t="s">
        <v>399</v>
      </c>
      <c r="B166" s="3" t="s">
        <v>400</v>
      </c>
      <c r="C166" s="3" t="s">
        <v>401</v>
      </c>
      <c r="D166" s="3" t="s">
        <v>44</v>
      </c>
      <c r="E166" s="3" t="s">
        <v>29</v>
      </c>
      <c r="F166" s="3" t="s">
        <v>402</v>
      </c>
      <c r="G166" s="3" t="s">
        <v>46</v>
      </c>
      <c r="H166" s="5" t="s">
        <v>403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x14ac:dyDescent="0.25">
      <c r="A167" s="4" t="s">
        <v>404</v>
      </c>
      <c r="B167" s="3" t="s">
        <v>405</v>
      </c>
      <c r="C167" s="3" t="s">
        <v>406</v>
      </c>
      <c r="D167" s="3" t="s">
        <v>29</v>
      </c>
      <c r="E167" s="3" t="s">
        <v>29</v>
      </c>
      <c r="F167" s="3" t="s">
        <v>407</v>
      </c>
      <c r="G167" s="3" t="s">
        <v>46</v>
      </c>
      <c r="H167" s="5" t="s">
        <v>408</v>
      </c>
      <c r="I167" s="3">
        <v>433</v>
      </c>
      <c r="J167" s="3">
        <v>0.5</v>
      </c>
      <c r="K167" s="3">
        <v>6</v>
      </c>
      <c r="L167" s="3">
        <v>2</v>
      </c>
      <c r="M167" s="3">
        <v>0</v>
      </c>
      <c r="N167" s="3">
        <v>1.5</v>
      </c>
      <c r="O167" s="3">
        <v>1</v>
      </c>
      <c r="P167" s="3">
        <f>(IF(I167=0, 0, IF(I167&lt;=100, 1, IF(I167&lt;=1000, 3, IF(I167&lt;=10000, 6, 10)))) * (1 + J167)) * ((1 + IF(K167&lt;=20, 1, IF(K167&lt;=40, 3, 5)) + IF(L167&lt;=4, 2, IF(L167&lt;=6, 4, 6)) + M167*5) * (N167*O167))</f>
        <v>27</v>
      </c>
      <c r="Q167" s="9">
        <v>46122</v>
      </c>
      <c r="R167" s="9">
        <v>45736</v>
      </c>
      <c r="S167" s="3">
        <f ca="1">(IF(R167="", 730, TODAY()-R167) * 1) + (IF(OR(Q167="", R167&gt;Q167), IF(R167="", 730, TODAY()-R167), TODAY()-Q167) * 0.3)</f>
        <v>448.4</v>
      </c>
      <c r="T167" s="3">
        <f>SUMIF(A:A, A167, P:P)</f>
        <v>27</v>
      </c>
      <c r="U167" s="3">
        <v>1</v>
      </c>
      <c r="V167" s="3">
        <f ca="1">T167 * (1 +LOG10(U167)) * (1 + (S167 / 90))</f>
        <v>161.52000000000001</v>
      </c>
    </row>
    <row r="168" spans="1:22" hidden="1" x14ac:dyDescent="0.25">
      <c r="A168" s="3" t="s">
        <v>409</v>
      </c>
      <c r="B168" s="3" t="s">
        <v>410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idden="1" x14ac:dyDescent="0.25">
      <c r="A169" s="4" t="s">
        <v>411</v>
      </c>
      <c r="B169" s="4" t="s">
        <v>412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spans="1:22" hidden="1" x14ac:dyDescent="0.25">
      <c r="A170" s="3" t="s">
        <v>413</v>
      </c>
      <c r="B170" s="4" t="s">
        <v>414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spans="1:22" hidden="1" x14ac:dyDescent="0.25">
      <c r="A171" s="4" t="s">
        <v>415</v>
      </c>
      <c r="B171" s="3" t="s">
        <v>416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idden="1" x14ac:dyDescent="0.25">
      <c r="A172" s="3" t="s">
        <v>417</v>
      </c>
      <c r="B172" s="3" t="s">
        <v>418</v>
      </c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x14ac:dyDescent="0.25">
      <c r="A173" s="4" t="s">
        <v>419</v>
      </c>
      <c r="B173" s="4" t="s">
        <v>420</v>
      </c>
      <c r="C173" s="4" t="s">
        <v>421</v>
      </c>
      <c r="D173" s="4" t="s">
        <v>29</v>
      </c>
      <c r="E173" s="4" t="s">
        <v>29</v>
      </c>
      <c r="F173" s="4" t="s">
        <v>422</v>
      </c>
      <c r="G173" s="4" t="s">
        <v>146</v>
      </c>
      <c r="H173" s="6" t="s">
        <v>423</v>
      </c>
      <c r="I173" s="4">
        <v>13</v>
      </c>
      <c r="J173" s="4">
        <v>0.5</v>
      </c>
      <c r="K173" s="4">
        <v>7</v>
      </c>
      <c r="L173" s="4">
        <v>1</v>
      </c>
      <c r="M173" s="4">
        <v>0</v>
      </c>
      <c r="N173" s="4">
        <v>1</v>
      </c>
      <c r="O173" s="4">
        <v>1</v>
      </c>
      <c r="P173" s="3">
        <f>(IF(I173=0, 0, IF(I173&lt;=100, 1, IF(I173&lt;=1000, 3, IF(I173&lt;=10000, 6, 10)))) * (1 + J173)) * ((1 + IF(K173&lt;=20, 1, IF(K173&lt;=40, 3, 5)) + IF(L173&lt;=4, 2, IF(L173&lt;=6, 4, 6)) + M173*5) * (N173*O173))</f>
        <v>6</v>
      </c>
      <c r="Q173" s="10"/>
      <c r="R173" s="10">
        <v>45967</v>
      </c>
      <c r="S173" s="3">
        <f ca="1">(IF(R173="", 730, TODAY()-R173) * 1) + (IF(OR(Q173="", R173&gt;Q173), IF(R173="", 730, TODAY()-R173), TODAY()-Q173) * 0.3)</f>
        <v>263.89999999999998</v>
      </c>
      <c r="T173" s="3">
        <f>SUMIF(A:A, A173, P:P)</f>
        <v>66</v>
      </c>
      <c r="U173" s="4">
        <v>4</v>
      </c>
      <c r="V173" s="3">
        <f ca="1">T173 * (1 +LOG10(U173)) * (1 + (S173 / 90))</f>
        <v>415.777289349375</v>
      </c>
    </row>
    <row r="174" spans="1:22" x14ac:dyDescent="0.25">
      <c r="A174" s="3" t="s">
        <v>419</v>
      </c>
      <c r="B174" s="3" t="s">
        <v>420</v>
      </c>
      <c r="C174" s="3" t="s">
        <v>421</v>
      </c>
      <c r="D174" s="3" t="s">
        <v>29</v>
      </c>
      <c r="E174" s="3" t="s">
        <v>29</v>
      </c>
      <c r="F174" s="3" t="s">
        <v>424</v>
      </c>
      <c r="G174" s="3" t="s">
        <v>146</v>
      </c>
      <c r="H174" s="5" t="s">
        <v>425</v>
      </c>
      <c r="I174" s="3">
        <v>3493</v>
      </c>
      <c r="J174" s="3">
        <v>0.5</v>
      </c>
      <c r="K174" s="3">
        <v>7</v>
      </c>
      <c r="L174" s="3">
        <v>1</v>
      </c>
      <c r="M174" s="3">
        <v>0</v>
      </c>
      <c r="N174" s="3">
        <v>1</v>
      </c>
      <c r="O174" s="3">
        <v>1</v>
      </c>
      <c r="P174" s="3">
        <f>(IF(I174=0, 0, IF(I174&lt;=100, 1, IF(I174&lt;=1000, 3, IF(I174&lt;=10000, 6, 10)))) * (1 + J174)) * ((1 + IF(K174&lt;=20, 1, IF(K174&lt;=40, 3, 5)) + IF(L174&lt;=4, 2, IF(L174&lt;=6, 4, 6)) + M174*5) * (N174*O174))</f>
        <v>36</v>
      </c>
      <c r="Q174" s="9"/>
      <c r="R174" s="9">
        <v>45901</v>
      </c>
      <c r="S174" s="3">
        <f ca="1">(IF(R174="", 730, TODAY()-R174) * 1) + (IF(OR(Q174="", R174&gt;Q174), IF(R174="", 730, TODAY()-R174), TODAY()-Q174) * 0.3)</f>
        <v>349.7</v>
      </c>
      <c r="T174" s="3">
        <f>SUMIF(A:A, A174, P:P)</f>
        <v>66</v>
      </c>
      <c r="U174" s="3">
        <v>4</v>
      </c>
      <c r="V174" s="3">
        <f ca="1">T174 * (1 +LOG10(U174)) * (1 + (S174 / 90))</f>
        <v>516.57890400373037</v>
      </c>
    </row>
    <row r="175" spans="1:22" x14ac:dyDescent="0.25">
      <c r="A175" s="4" t="s">
        <v>419</v>
      </c>
      <c r="B175" s="4" t="s">
        <v>420</v>
      </c>
      <c r="C175" s="4" t="s">
        <v>421</v>
      </c>
      <c r="D175" s="4" t="s">
        <v>29</v>
      </c>
      <c r="E175" s="4" t="s">
        <v>29</v>
      </c>
      <c r="F175" s="4" t="s">
        <v>426</v>
      </c>
      <c r="G175" s="4" t="s">
        <v>146</v>
      </c>
      <c r="H175" s="6" t="s">
        <v>425</v>
      </c>
      <c r="I175" s="4">
        <v>612</v>
      </c>
      <c r="J175" s="4">
        <v>0.5</v>
      </c>
      <c r="K175" s="4">
        <v>7</v>
      </c>
      <c r="L175" s="4">
        <v>1</v>
      </c>
      <c r="M175" s="4">
        <v>0</v>
      </c>
      <c r="N175" s="4">
        <v>1</v>
      </c>
      <c r="O175" s="4">
        <v>1</v>
      </c>
      <c r="P175" s="3">
        <f>(IF(I175=0, 0, IF(I175&lt;=100, 1, IF(I175&lt;=1000, 3, IF(I175&lt;=10000, 6, 10)))) * (1 + J175)) * ((1 + IF(K175&lt;=20, 1, IF(K175&lt;=40, 3, 5)) + IF(L175&lt;=4, 2, IF(L175&lt;=6, 4, 6)) + M175*5) * (N175*O175))</f>
        <v>18</v>
      </c>
      <c r="Q175" s="10"/>
      <c r="R175" s="10">
        <v>45901</v>
      </c>
      <c r="S175" s="3">
        <f ca="1">(IF(R175="", 730, TODAY()-R175) * 1) + (IF(OR(Q175="", R175&gt;Q175), IF(R175="", 730, TODAY()-R175), TODAY()-Q175) * 0.3)</f>
        <v>349.7</v>
      </c>
      <c r="T175" s="3">
        <f>SUMIF(A:A, A175, P:P)</f>
        <v>66</v>
      </c>
      <c r="U175" s="4">
        <v>4</v>
      </c>
      <c r="V175" s="3">
        <f ca="1">T175 * (1 +LOG10(U175)) * (1 + (S175 / 90))</f>
        <v>516.57890400373037</v>
      </c>
    </row>
    <row r="176" spans="1:22" x14ac:dyDescent="0.25">
      <c r="A176" s="3" t="s">
        <v>419</v>
      </c>
      <c r="B176" s="3" t="s">
        <v>420</v>
      </c>
      <c r="C176" s="3" t="s">
        <v>421</v>
      </c>
      <c r="D176" s="3" t="s">
        <v>29</v>
      </c>
      <c r="E176" s="3" t="s">
        <v>29</v>
      </c>
      <c r="F176" s="3" t="s">
        <v>427</v>
      </c>
      <c r="G176" s="3" t="s">
        <v>146</v>
      </c>
      <c r="H176" s="5" t="s">
        <v>428</v>
      </c>
      <c r="I176" s="3">
        <v>9</v>
      </c>
      <c r="J176" s="3">
        <v>0.5</v>
      </c>
      <c r="K176" s="3">
        <v>7</v>
      </c>
      <c r="L176" s="3">
        <v>1</v>
      </c>
      <c r="M176" s="3">
        <v>0</v>
      </c>
      <c r="N176" s="3">
        <v>1</v>
      </c>
      <c r="O176" s="3">
        <v>1</v>
      </c>
      <c r="P176" s="3">
        <f>(IF(I176=0, 0, IF(I176&lt;=100, 1, IF(I176&lt;=1000, 3, IF(I176&lt;=10000, 6, 10)))) * (1 + J176)) * ((1 + IF(K176&lt;=20, 1, IF(K176&lt;=40, 3, 5)) + IF(L176&lt;=4, 2, IF(L176&lt;=6, 4, 6)) + M176*5) * (N176*O176))</f>
        <v>6</v>
      </c>
      <c r="Q176" s="9"/>
      <c r="R176" s="9">
        <v>45930</v>
      </c>
      <c r="S176" s="3">
        <f ca="1">(IF(R176="", 730, TODAY()-R176) * 1) + (IF(OR(Q176="", R176&gt;Q176), IF(R176="", 730, TODAY()-R176), TODAY()-Q176) * 0.3)</f>
        <v>312</v>
      </c>
      <c r="T176" s="3">
        <f>SUMIF(A:A, A176, P:P)</f>
        <v>66</v>
      </c>
      <c r="U176" s="3">
        <v>4</v>
      </c>
      <c r="V176" s="3">
        <f ca="1">T176 * (1 +LOG10(U176)) * (1 + (S176 / 90))</f>
        <v>472.28728544348337</v>
      </c>
    </row>
    <row r="177" spans="1:22" hidden="1" x14ac:dyDescent="0.25">
      <c r="A177" s="4" t="s">
        <v>419</v>
      </c>
      <c r="B177" s="3" t="s">
        <v>420</v>
      </c>
      <c r="C177" s="3" t="s">
        <v>421</v>
      </c>
      <c r="D177" s="3" t="s">
        <v>29</v>
      </c>
      <c r="E177" s="3" t="s">
        <v>44</v>
      </c>
      <c r="F177" s="3" t="s">
        <v>429</v>
      </c>
      <c r="G177" s="3" t="s">
        <v>146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idden="1" x14ac:dyDescent="0.25">
      <c r="A178" s="3" t="s">
        <v>419</v>
      </c>
      <c r="B178" s="4" t="s">
        <v>420</v>
      </c>
      <c r="C178" s="4" t="s">
        <v>421</v>
      </c>
      <c r="D178" s="4" t="s">
        <v>29</v>
      </c>
      <c r="E178" s="4" t="s">
        <v>44</v>
      </c>
      <c r="F178" s="4" t="s">
        <v>430</v>
      </c>
      <c r="G178" s="4" t="s">
        <v>146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1:22" hidden="1" x14ac:dyDescent="0.25">
      <c r="A179" s="4" t="s">
        <v>419</v>
      </c>
      <c r="B179" s="3" t="s">
        <v>420</v>
      </c>
      <c r="C179" s="3" t="s">
        <v>421</v>
      </c>
      <c r="D179" s="3" t="s">
        <v>29</v>
      </c>
      <c r="E179" s="3" t="s">
        <v>44</v>
      </c>
      <c r="F179" s="3" t="s">
        <v>431</v>
      </c>
      <c r="G179" s="3" t="s">
        <v>146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idden="1" x14ac:dyDescent="0.25">
      <c r="A180" s="3" t="s">
        <v>419</v>
      </c>
      <c r="B180" s="4" t="s">
        <v>420</v>
      </c>
      <c r="C180" s="4" t="s">
        <v>421</v>
      </c>
      <c r="D180" s="4" t="s">
        <v>29</v>
      </c>
      <c r="E180" s="4" t="s">
        <v>44</v>
      </c>
      <c r="F180" s="4" t="s">
        <v>432</v>
      </c>
      <c r="G180" s="4" t="s">
        <v>146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hidden="1" x14ac:dyDescent="0.25">
      <c r="A181" s="4" t="s">
        <v>419</v>
      </c>
      <c r="B181" s="4" t="s">
        <v>420</v>
      </c>
      <c r="C181" s="4" t="s">
        <v>421</v>
      </c>
      <c r="D181" s="4" t="s">
        <v>29</v>
      </c>
      <c r="E181" s="4" t="s">
        <v>44</v>
      </c>
      <c r="F181" s="4" t="s">
        <v>433</v>
      </c>
      <c r="G181" s="4" t="s">
        <v>146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hidden="1" x14ac:dyDescent="0.25">
      <c r="A182" s="3" t="s">
        <v>434</v>
      </c>
      <c r="B182" s="4" t="s">
        <v>435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spans="1:22" hidden="1" x14ac:dyDescent="0.25">
      <c r="A183" s="4" t="s">
        <v>436</v>
      </c>
      <c r="B183" s="4" t="s">
        <v>437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hidden="1" x14ac:dyDescent="0.25">
      <c r="A184" s="3" t="s">
        <v>438</v>
      </c>
      <c r="B184" s="4" t="s">
        <v>439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hidden="1" x14ac:dyDescent="0.25">
      <c r="A185" s="4" t="s">
        <v>440</v>
      </c>
      <c r="B185" s="4" t="s">
        <v>441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spans="1:22" hidden="1" x14ac:dyDescent="0.25">
      <c r="A186" s="3" t="s">
        <v>442</v>
      </c>
      <c r="B186" s="4" t="s">
        <v>443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hidden="1" x14ac:dyDescent="0.25">
      <c r="A187" s="4" t="s">
        <v>444</v>
      </c>
      <c r="B187" s="3" t="s">
        <v>445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idden="1" x14ac:dyDescent="0.25">
      <c r="A188" s="3" t="s">
        <v>446</v>
      </c>
      <c r="B188" s="3" t="s">
        <v>447</v>
      </c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idden="1" x14ac:dyDescent="0.25">
      <c r="A189" s="4" t="s">
        <v>448</v>
      </c>
      <c r="B189" s="4" t="s">
        <v>449</v>
      </c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hidden="1" x14ac:dyDescent="0.25">
      <c r="A190" s="3" t="s">
        <v>450</v>
      </c>
      <c r="B190" s="4" t="s">
        <v>451</v>
      </c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x14ac:dyDescent="0.25">
      <c r="A191" s="4" t="s">
        <v>452</v>
      </c>
      <c r="B191" s="4" t="s">
        <v>453</v>
      </c>
      <c r="C191" s="4" t="s">
        <v>454</v>
      </c>
      <c r="D191" s="4" t="s">
        <v>29</v>
      </c>
      <c r="E191" s="4" t="s">
        <v>29</v>
      </c>
      <c r="F191" s="4" t="s">
        <v>455</v>
      </c>
      <c r="G191" s="4" t="s">
        <v>46</v>
      </c>
      <c r="H191" s="6" t="s">
        <v>456</v>
      </c>
      <c r="I191" s="4">
        <v>110</v>
      </c>
      <c r="J191" s="4">
        <v>0.5</v>
      </c>
      <c r="K191" s="4">
        <v>1</v>
      </c>
      <c r="L191" s="4">
        <v>3</v>
      </c>
      <c r="M191" s="4">
        <v>0</v>
      </c>
      <c r="N191" s="4">
        <v>1</v>
      </c>
      <c r="O191" s="4">
        <v>1</v>
      </c>
      <c r="P191" s="3">
        <f>(IF(I191=0, 0, IF(I191&lt;=100, 1, IF(I191&lt;=1000, 3, IF(I191&lt;=10000, 6, 10)))) * (1 + J191)) * ((1 + IF(K191&lt;=20, 1, IF(K191&lt;=40, 3, 5)) + IF(L191&lt;=4, 2, IF(L191&lt;=6, 4, 6)) + M191*5) * (N191*O191))</f>
        <v>18</v>
      </c>
      <c r="Q191" s="10"/>
      <c r="R191" s="10">
        <v>45896</v>
      </c>
      <c r="S191" s="3">
        <f ca="1">(IF(R191="", 730, TODAY()-R191) * 1) + (IF(OR(Q191="", R191&gt;Q191), IF(R191="", 730, TODAY()-R191), TODAY()-Q191) * 0.3)</f>
        <v>356.2</v>
      </c>
      <c r="T191" s="3">
        <f>SUMIF(A:A, A191, P:P)</f>
        <v>30</v>
      </c>
      <c r="U191" s="4">
        <v>3</v>
      </c>
      <c r="V191" s="3">
        <f ca="1">T191 * (1 +LOG10(U191)) * (1 + (S191 / 90))</f>
        <v>219.69716795197112</v>
      </c>
    </row>
    <row r="192" spans="1:22" x14ac:dyDescent="0.25">
      <c r="A192" s="3" t="s">
        <v>452</v>
      </c>
      <c r="B192" s="3" t="s">
        <v>453</v>
      </c>
      <c r="C192" s="3" t="s">
        <v>454</v>
      </c>
      <c r="D192" s="3" t="s">
        <v>29</v>
      </c>
      <c r="E192" s="3" t="s">
        <v>29</v>
      </c>
      <c r="F192" s="3" t="s">
        <v>457</v>
      </c>
      <c r="G192" s="3" t="s">
        <v>46</v>
      </c>
      <c r="H192" s="5" t="s">
        <v>456</v>
      </c>
      <c r="I192" s="3">
        <v>91</v>
      </c>
      <c r="J192" s="3">
        <v>0.5</v>
      </c>
      <c r="K192" s="3">
        <v>1</v>
      </c>
      <c r="L192" s="3">
        <v>3</v>
      </c>
      <c r="M192" s="3">
        <v>0</v>
      </c>
      <c r="N192" s="3">
        <v>1</v>
      </c>
      <c r="O192" s="3">
        <v>1</v>
      </c>
      <c r="P192" s="3">
        <f>(IF(I192=0, 0, IF(I192&lt;=100, 1, IF(I192&lt;=1000, 3, IF(I192&lt;=10000, 6, 10)))) * (1 + J192)) * ((1 + IF(K192&lt;=20, 1, IF(K192&lt;=40, 3, 5)) + IF(L192&lt;=4, 2, IF(L192&lt;=6, 4, 6)) + M192*5) * (N192*O192))</f>
        <v>6</v>
      </c>
      <c r="Q192" s="9"/>
      <c r="R192" s="9">
        <v>45896</v>
      </c>
      <c r="S192" s="3">
        <f ca="1">(IF(R192="", 730, TODAY()-R192) * 1) + (IF(OR(Q192="", R192&gt;Q192), IF(R192="", 730, TODAY()-R192), TODAY()-Q192) * 0.3)</f>
        <v>356.2</v>
      </c>
      <c r="T192" s="3">
        <f>SUMIF(A:A, A192, P:P)</f>
        <v>30</v>
      </c>
      <c r="U192" s="3">
        <v>3</v>
      </c>
      <c r="V192" s="3">
        <f ca="1">T192 * (1 +LOG10(U192)) * (1 + (S192 / 90))</f>
        <v>219.69716795197112</v>
      </c>
    </row>
    <row r="193" spans="1:22" x14ac:dyDescent="0.25">
      <c r="A193" s="4" t="s">
        <v>452</v>
      </c>
      <c r="B193" s="4" t="s">
        <v>453</v>
      </c>
      <c r="C193" s="4" t="s">
        <v>454</v>
      </c>
      <c r="D193" s="4" t="s">
        <v>29</v>
      </c>
      <c r="E193" s="4" t="s">
        <v>29</v>
      </c>
      <c r="F193" s="4" t="s">
        <v>458</v>
      </c>
      <c r="G193" s="4" t="s">
        <v>46</v>
      </c>
      <c r="H193" s="6" t="s">
        <v>456</v>
      </c>
      <c r="I193" s="4">
        <v>19</v>
      </c>
      <c r="J193" s="4">
        <v>0.5</v>
      </c>
      <c r="K193" s="4">
        <v>1</v>
      </c>
      <c r="L193" s="4">
        <v>3</v>
      </c>
      <c r="M193" s="4">
        <v>0</v>
      </c>
      <c r="N193" s="4">
        <v>1</v>
      </c>
      <c r="O193" s="4">
        <v>1</v>
      </c>
      <c r="P193" s="3">
        <f>(IF(I193=0, 0, IF(I193&lt;=100, 1, IF(I193&lt;=1000, 3, IF(I193&lt;=10000, 6, 10)))) * (1 + J193)) * ((1 + IF(K193&lt;=20, 1, IF(K193&lt;=40, 3, 5)) + IF(L193&lt;=4, 2, IF(L193&lt;=6, 4, 6)) + M193*5) * (N193*O193))</f>
        <v>6</v>
      </c>
      <c r="Q193" s="10"/>
      <c r="R193" s="10">
        <v>45896</v>
      </c>
      <c r="S193" s="3">
        <f ca="1">(IF(R193="", 730, TODAY()-R193) * 1) + (IF(OR(Q193="", R193&gt;Q193), IF(R193="", 730, TODAY()-R193), TODAY()-Q193) * 0.3)</f>
        <v>356.2</v>
      </c>
      <c r="T193" s="3">
        <f>SUMIF(A:A, A193, P:P)</f>
        <v>30</v>
      </c>
      <c r="U193" s="4">
        <v>3</v>
      </c>
      <c r="V193" s="3">
        <f ca="1">T193 * (1 +LOG10(U193)) * (1 + (S193 / 90))</f>
        <v>219.69716795197112</v>
      </c>
    </row>
    <row r="194" spans="1:22" hidden="1" x14ac:dyDescent="0.25">
      <c r="A194" s="3" t="s">
        <v>459</v>
      </c>
      <c r="B194" s="4" t="s">
        <v>460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x14ac:dyDescent="0.25">
      <c r="A195" s="4" t="s">
        <v>461</v>
      </c>
      <c r="B195" s="4" t="s">
        <v>462</v>
      </c>
      <c r="C195" s="4" t="s">
        <v>463</v>
      </c>
      <c r="D195" s="4" t="s">
        <v>29</v>
      </c>
      <c r="E195" s="4" t="s">
        <v>29</v>
      </c>
      <c r="F195" s="4" t="s">
        <v>464</v>
      </c>
      <c r="G195" s="4" t="s">
        <v>465</v>
      </c>
      <c r="H195" s="6" t="s">
        <v>466</v>
      </c>
      <c r="I195" s="4">
        <v>38</v>
      </c>
      <c r="J195" s="4">
        <v>0.5</v>
      </c>
      <c r="K195" s="4">
        <v>13</v>
      </c>
      <c r="L195" s="4">
        <v>1</v>
      </c>
      <c r="M195" s="4">
        <v>0</v>
      </c>
      <c r="N195" s="4">
        <v>1</v>
      </c>
      <c r="O195" s="4">
        <v>1</v>
      </c>
      <c r="P195" s="3">
        <f>(IF(I195=0, 0, IF(I195&lt;=100, 1, IF(I195&lt;=1000, 3, IF(I195&lt;=10000, 6, 10)))) * (1 + J195)) * ((1 + IF(K195&lt;=20, 1, IF(K195&lt;=40, 3, 5)) + IF(L195&lt;=4, 2, IF(L195&lt;=6, 4, 6)) + M195*5) * (N195*O195))</f>
        <v>6</v>
      </c>
      <c r="Q195" s="10"/>
      <c r="R195" s="10">
        <v>45824</v>
      </c>
      <c r="S195" s="3">
        <f ca="1">(IF(R195="", 730, TODAY()-R195) * 1) + (IF(OR(Q195="", R195&gt;Q195), IF(R195="", 730, TODAY()-R195), TODAY()-Q195) * 0.3)</f>
        <v>449.8</v>
      </c>
      <c r="T195" s="3">
        <f>SUMIF(A:A, A195, P:P)</f>
        <v>6</v>
      </c>
      <c r="U195" s="4">
        <v>1</v>
      </c>
      <c r="V195" s="3">
        <f ca="1">T195 * (1 +LOG10(U195)) * (1 + (S195 / 90))</f>
        <v>35.986666666666672</v>
      </c>
    </row>
    <row r="196" spans="1:22" hidden="1" x14ac:dyDescent="0.25">
      <c r="A196" s="3" t="s">
        <v>467</v>
      </c>
      <c r="B196" s="4" t="s">
        <v>468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hidden="1" x14ac:dyDescent="0.25">
      <c r="A197" s="4" t="s">
        <v>469</v>
      </c>
      <c r="B197" s="3" t="s">
        <v>470</v>
      </c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idden="1" x14ac:dyDescent="0.25">
      <c r="A198" s="3" t="s">
        <v>471</v>
      </c>
      <c r="B198" s="3" t="s">
        <v>472</v>
      </c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idden="1" x14ac:dyDescent="0.25">
      <c r="A199" s="4" t="s">
        <v>473</v>
      </c>
      <c r="B199" s="3" t="s">
        <v>474</v>
      </c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x14ac:dyDescent="0.25">
      <c r="A200" s="3" t="s">
        <v>475</v>
      </c>
      <c r="B200" s="4" t="s">
        <v>476</v>
      </c>
      <c r="C200" s="4" t="s">
        <v>477</v>
      </c>
      <c r="D200" s="4" t="s">
        <v>29</v>
      </c>
      <c r="E200" s="4" t="s">
        <v>29</v>
      </c>
      <c r="F200" s="4" t="s">
        <v>478</v>
      </c>
      <c r="G200" s="4" t="s">
        <v>46</v>
      </c>
      <c r="H200" s="6" t="s">
        <v>479</v>
      </c>
      <c r="I200" s="4">
        <v>22</v>
      </c>
      <c r="J200" s="4">
        <v>0.5</v>
      </c>
      <c r="K200" s="4">
        <v>17</v>
      </c>
      <c r="L200" s="4">
        <v>7</v>
      </c>
      <c r="M200" s="4">
        <v>0</v>
      </c>
      <c r="N200" s="4">
        <v>1</v>
      </c>
      <c r="O200" s="4">
        <v>1</v>
      </c>
      <c r="P200" s="3">
        <f>(IF(I200=0, 0, IF(I200&lt;=100, 1, IF(I200&lt;=1000, 3, IF(I200&lt;=10000, 6, 10)))) * (1 + J200)) * ((1 + IF(K200&lt;=20, 1, IF(K200&lt;=40, 3, 5)) + IF(L200&lt;=4, 2, IF(L200&lt;=6, 4, 6)) + M200*5) * (N200*O200))</f>
        <v>12</v>
      </c>
      <c r="Q200" s="10"/>
      <c r="R200" s="10">
        <v>45890</v>
      </c>
      <c r="S200" s="3">
        <f ca="1">(IF(R200="", 730, TODAY()-R200) * 1) + (IF(OR(Q200="", R200&gt;Q200), IF(R200="", 730, TODAY()-R200), TODAY()-Q200) * 0.3)</f>
        <v>364</v>
      </c>
      <c r="T200" s="3">
        <f>SUMIF(A:A, A200, P:P)</f>
        <v>24</v>
      </c>
      <c r="U200" s="4">
        <v>2</v>
      </c>
      <c r="V200" s="3">
        <f ca="1">T200 * (1 +LOG10(U200)) * (1 + (S200 / 90))</f>
        <v>157.51136480838599</v>
      </c>
    </row>
    <row r="201" spans="1:22" x14ac:dyDescent="0.25">
      <c r="A201" s="4" t="s">
        <v>475</v>
      </c>
      <c r="B201" s="3" t="s">
        <v>476</v>
      </c>
      <c r="C201" s="3" t="s">
        <v>477</v>
      </c>
      <c r="D201" s="3" t="s">
        <v>29</v>
      </c>
      <c r="E201" s="3" t="s">
        <v>29</v>
      </c>
      <c r="F201" s="3" t="s">
        <v>480</v>
      </c>
      <c r="G201" s="3" t="s">
        <v>46</v>
      </c>
      <c r="H201" s="5" t="s">
        <v>479</v>
      </c>
      <c r="I201" s="3">
        <v>72</v>
      </c>
      <c r="J201" s="3">
        <v>0.5</v>
      </c>
      <c r="K201" s="3">
        <v>17</v>
      </c>
      <c r="L201" s="3">
        <v>7</v>
      </c>
      <c r="M201" s="3">
        <v>0</v>
      </c>
      <c r="N201" s="3">
        <v>1</v>
      </c>
      <c r="O201" s="3">
        <v>1</v>
      </c>
      <c r="P201" s="3">
        <f>(IF(I201=0, 0, IF(I201&lt;=100, 1, IF(I201&lt;=1000, 3, IF(I201&lt;=10000, 6, 10)))) * (1 + J201)) * ((1 + IF(K201&lt;=20, 1, IF(K201&lt;=40, 3, 5)) + IF(L201&lt;=4, 2, IF(L201&lt;=6, 4, 6)) + M201*5) * (N201*O201))</f>
        <v>12</v>
      </c>
      <c r="Q201" s="9"/>
      <c r="R201" s="9">
        <v>45890</v>
      </c>
      <c r="S201" s="3">
        <f ca="1">(IF(R201="", 730, TODAY()-R201) * 1) + (IF(OR(Q201="", R201&gt;Q201), IF(R201="", 730, TODAY()-R201), TODAY()-Q201) * 0.3)</f>
        <v>364</v>
      </c>
      <c r="T201" s="3">
        <f>SUMIF(A:A, A201, P:P)</f>
        <v>24</v>
      </c>
      <c r="U201" s="3">
        <v>2</v>
      </c>
      <c r="V201" s="3">
        <f ca="1">T201 * (1 +LOG10(U201)) * (1 + (S201 / 90))</f>
        <v>157.51136480838599</v>
      </c>
    </row>
    <row r="202" spans="1:22" hidden="1" x14ac:dyDescent="0.25">
      <c r="A202" s="3" t="s">
        <v>481</v>
      </c>
      <c r="B202" s="4" t="s">
        <v>482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hidden="1" x14ac:dyDescent="0.25">
      <c r="A203" s="4" t="s">
        <v>483</v>
      </c>
      <c r="B203" s="4" t="s">
        <v>484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hidden="1" x14ac:dyDescent="0.25">
      <c r="A204" s="3" t="s">
        <v>485</v>
      </c>
      <c r="B204" s="3" t="s">
        <v>486</v>
      </c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idden="1" x14ac:dyDescent="0.25">
      <c r="A205" s="4" t="s">
        <v>487</v>
      </c>
      <c r="B205" s="3" t="s">
        <v>488</v>
      </c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idden="1" x14ac:dyDescent="0.25">
      <c r="A206" s="3" t="s">
        <v>489</v>
      </c>
      <c r="B206" s="3" t="s">
        <v>490</v>
      </c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idden="1" x14ac:dyDescent="0.25">
      <c r="A207" s="4" t="s">
        <v>491</v>
      </c>
      <c r="B207" s="4" t="s">
        <v>492</v>
      </c>
      <c r="C207" s="4" t="s">
        <v>493</v>
      </c>
      <c r="D207" s="4" t="s">
        <v>44</v>
      </c>
      <c r="E207" s="4" t="s">
        <v>44</v>
      </c>
      <c r="F207" s="4" t="s">
        <v>494</v>
      </c>
      <c r="G207" s="4" t="s">
        <v>46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hidden="1" x14ac:dyDescent="0.25">
      <c r="A208" s="3" t="s">
        <v>495</v>
      </c>
      <c r="B208" s="3" t="s">
        <v>496</v>
      </c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idden="1" x14ac:dyDescent="0.25">
      <c r="A209" s="4" t="s">
        <v>497</v>
      </c>
      <c r="B209" s="4" t="s">
        <v>498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hidden="1" x14ac:dyDescent="0.25">
      <c r="A210" s="3" t="s">
        <v>499</v>
      </c>
      <c r="B210" s="3" t="s">
        <v>500</v>
      </c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idden="1" x14ac:dyDescent="0.25">
      <c r="A211" s="4" t="s">
        <v>501</v>
      </c>
      <c r="B211" s="3" t="s">
        <v>502</v>
      </c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idden="1" x14ac:dyDescent="0.25">
      <c r="A212" s="3" t="s">
        <v>503</v>
      </c>
      <c r="B212" s="3" t="s">
        <v>504</v>
      </c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idden="1" x14ac:dyDescent="0.25">
      <c r="A213" s="4" t="s">
        <v>505</v>
      </c>
      <c r="B213" s="4" t="s">
        <v>506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hidden="1" x14ac:dyDescent="0.25">
      <c r="A214" s="3" t="s">
        <v>507</v>
      </c>
      <c r="B214" s="3" t="s">
        <v>508</v>
      </c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idden="1" x14ac:dyDescent="0.25">
      <c r="A215" s="4" t="s">
        <v>509</v>
      </c>
      <c r="B215" s="3" t="s">
        <v>510</v>
      </c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idden="1" x14ac:dyDescent="0.25">
      <c r="A216" s="3" t="s">
        <v>511</v>
      </c>
      <c r="B216" s="4" t="s">
        <v>512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hidden="1" x14ac:dyDescent="0.25">
      <c r="A217" s="4" t="s">
        <v>513</v>
      </c>
      <c r="B217" s="4" t="s">
        <v>514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hidden="1" x14ac:dyDescent="0.25">
      <c r="A218" s="3" t="s">
        <v>515</v>
      </c>
      <c r="B218" s="4" t="s">
        <v>516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hidden="1" x14ac:dyDescent="0.25">
      <c r="A219" s="4" t="s">
        <v>517</v>
      </c>
      <c r="B219" s="3" t="s">
        <v>518</v>
      </c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idden="1" x14ac:dyDescent="0.25">
      <c r="A220" s="3" t="s">
        <v>519</v>
      </c>
      <c r="B220" s="4" t="s">
        <v>520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hidden="1" x14ac:dyDescent="0.25">
      <c r="A221" s="4" t="s">
        <v>521</v>
      </c>
      <c r="B221" s="4" t="s">
        <v>522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x14ac:dyDescent="0.25">
      <c r="A222" s="3" t="s">
        <v>523</v>
      </c>
      <c r="B222" s="3" t="s">
        <v>524</v>
      </c>
      <c r="C222" s="3" t="s">
        <v>525</v>
      </c>
      <c r="D222" s="3" t="s">
        <v>29</v>
      </c>
      <c r="E222" s="3" t="s">
        <v>29</v>
      </c>
      <c r="F222" s="3" t="s">
        <v>526</v>
      </c>
      <c r="G222" s="3" t="s">
        <v>31</v>
      </c>
      <c r="H222" s="5" t="s">
        <v>527</v>
      </c>
      <c r="I222" s="3">
        <v>730</v>
      </c>
      <c r="J222" s="3">
        <v>0.5</v>
      </c>
      <c r="K222" s="3">
        <v>9</v>
      </c>
      <c r="L222" s="3">
        <v>2</v>
      </c>
      <c r="M222" s="3">
        <v>0</v>
      </c>
      <c r="N222" s="3">
        <v>2</v>
      </c>
      <c r="O222" s="3">
        <v>2.5</v>
      </c>
      <c r="P222" s="3">
        <f>(IF(I222=0, 0, IF(I222&lt;=100, 1, IF(I222&lt;=1000, 3, IF(I222&lt;=10000, 6, 10)))) * (1 + J222)) * ((1 + IF(K222&lt;=20, 1, IF(K222&lt;=40, 3, 5)) + IF(L222&lt;=4, 2, IF(L222&lt;=6, 4, 6)) + M222*5) * (N222*O222))</f>
        <v>90</v>
      </c>
      <c r="Q222" s="9">
        <v>46048</v>
      </c>
      <c r="R222" s="9">
        <v>46000</v>
      </c>
      <c r="S222" s="3">
        <f ca="1">(IF(R222="", 730, TODAY()-R222) * 1) + (IF(OR(Q222="", R222&gt;Q222), IF(R222="", 730, TODAY()-R222), TODAY()-Q222) * 0.3)</f>
        <v>206.6</v>
      </c>
      <c r="T222" s="3">
        <f>SUMIF(A:A, A222, P:P)</f>
        <v>270</v>
      </c>
      <c r="U222" s="3">
        <v>3</v>
      </c>
      <c r="V222" s="3">
        <f ca="1">T222 * (1 +LOG10(U222)) * (1 + (S222 / 90))</f>
        <v>1314.3424924495555</v>
      </c>
    </row>
    <row r="223" spans="1:22" x14ac:dyDescent="0.25">
      <c r="A223" s="4" t="s">
        <v>523</v>
      </c>
      <c r="B223" s="4" t="s">
        <v>524</v>
      </c>
      <c r="C223" s="4" t="s">
        <v>525</v>
      </c>
      <c r="D223" s="4" t="s">
        <v>29</v>
      </c>
      <c r="E223" s="4" t="s">
        <v>29</v>
      </c>
      <c r="F223" s="4" t="s">
        <v>528</v>
      </c>
      <c r="G223" s="4" t="s">
        <v>31</v>
      </c>
      <c r="H223" s="6" t="s">
        <v>527</v>
      </c>
      <c r="I223" s="4">
        <v>700</v>
      </c>
      <c r="J223" s="4">
        <v>0.5</v>
      </c>
      <c r="K223" s="4">
        <v>9</v>
      </c>
      <c r="L223" s="4">
        <v>2</v>
      </c>
      <c r="M223" s="4">
        <v>0</v>
      </c>
      <c r="N223" s="4">
        <v>2</v>
      </c>
      <c r="O223" s="4">
        <v>2.5</v>
      </c>
      <c r="P223" s="3">
        <f>(IF(I223=0, 0, IF(I223&lt;=100, 1, IF(I223&lt;=1000, 3, IF(I223&lt;=10000, 6, 10)))) * (1 + J223)) * ((1 + IF(K223&lt;=20, 1, IF(K223&lt;=40, 3, 5)) + IF(L223&lt;=4, 2, IF(L223&lt;=6, 4, 6)) + M223*5) * (N223*O223))</f>
        <v>90</v>
      </c>
      <c r="Q223" s="10">
        <v>46048</v>
      </c>
      <c r="R223" s="10">
        <v>46000</v>
      </c>
      <c r="S223" s="3">
        <f ca="1">(IF(R223="", 730, TODAY()-R223) * 1) + (IF(OR(Q223="", R223&gt;Q223), IF(R223="", 730, TODAY()-R223), TODAY()-Q223) * 0.3)</f>
        <v>206.6</v>
      </c>
      <c r="T223" s="3">
        <f>SUMIF(A:A, A223, P:P)</f>
        <v>270</v>
      </c>
      <c r="U223" s="4">
        <v>3</v>
      </c>
      <c r="V223" s="3">
        <f ca="1">T223 * (1 +LOG10(U223)) * (1 + (S223 / 90))</f>
        <v>1314.3424924495555</v>
      </c>
    </row>
    <row r="224" spans="1:22" x14ac:dyDescent="0.25">
      <c r="A224" s="3" t="s">
        <v>523</v>
      </c>
      <c r="B224" s="3" t="s">
        <v>524</v>
      </c>
      <c r="C224" s="3" t="s">
        <v>525</v>
      </c>
      <c r="D224" s="3" t="s">
        <v>29</v>
      </c>
      <c r="E224" s="3" t="s">
        <v>29</v>
      </c>
      <c r="F224" s="3" t="s">
        <v>529</v>
      </c>
      <c r="G224" s="3" t="s">
        <v>31</v>
      </c>
      <c r="H224" s="5" t="s">
        <v>527</v>
      </c>
      <c r="I224" s="3">
        <v>218</v>
      </c>
      <c r="J224" s="3">
        <v>0.5</v>
      </c>
      <c r="K224" s="3">
        <v>9</v>
      </c>
      <c r="L224" s="3">
        <v>2</v>
      </c>
      <c r="M224" s="3">
        <v>0</v>
      </c>
      <c r="N224" s="3">
        <v>2</v>
      </c>
      <c r="O224" s="3">
        <v>2.5</v>
      </c>
      <c r="P224" s="3">
        <f>(IF(I224=0, 0, IF(I224&lt;=100, 1, IF(I224&lt;=1000, 3, IF(I224&lt;=10000, 6, 10)))) * (1 + J224)) * ((1 + IF(K224&lt;=20, 1, IF(K224&lt;=40, 3, 5)) + IF(L224&lt;=4, 2, IF(L224&lt;=6, 4, 6)) + M224*5) * (N224*O224))</f>
        <v>90</v>
      </c>
      <c r="Q224" s="9">
        <v>46048</v>
      </c>
      <c r="R224" s="9">
        <v>46000</v>
      </c>
      <c r="S224" s="3">
        <f ca="1">(IF(R224="", 730, TODAY()-R224) * 1) + (IF(OR(Q224="", R224&gt;Q224), IF(R224="", 730, TODAY()-R224), TODAY()-Q224) * 0.3)</f>
        <v>206.6</v>
      </c>
      <c r="T224" s="3">
        <f>SUMIF(A:A, A224, P:P)</f>
        <v>270</v>
      </c>
      <c r="U224" s="3">
        <v>3</v>
      </c>
      <c r="V224" s="3">
        <f ca="1">T224 * (1 +LOG10(U224)) * (1 + (S224 / 90))</f>
        <v>1314.3424924495555</v>
      </c>
    </row>
    <row r="225" spans="1:22" hidden="1" x14ac:dyDescent="0.25">
      <c r="A225" s="4" t="s">
        <v>530</v>
      </c>
      <c r="B225" s="3" t="s">
        <v>531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idden="1" x14ac:dyDescent="0.25">
      <c r="A226" s="3" t="s">
        <v>532</v>
      </c>
      <c r="B226" s="4" t="s">
        <v>533</v>
      </c>
      <c r="C226" s="4" t="s">
        <v>534</v>
      </c>
      <c r="D226" s="4" t="s">
        <v>29</v>
      </c>
      <c r="E226" s="4" t="s">
        <v>44</v>
      </c>
      <c r="F226" s="4" t="s">
        <v>535</v>
      </c>
      <c r="G226" s="4" t="s">
        <v>536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hidden="1" x14ac:dyDescent="0.25">
      <c r="A227" s="4" t="s">
        <v>532</v>
      </c>
      <c r="B227" s="3" t="s">
        <v>533</v>
      </c>
      <c r="C227" s="3" t="s">
        <v>534</v>
      </c>
      <c r="D227" s="3" t="s">
        <v>29</v>
      </c>
      <c r="E227" s="3" t="s">
        <v>44</v>
      </c>
      <c r="F227" s="3" t="s">
        <v>537</v>
      </c>
      <c r="G227" s="3" t="s">
        <v>536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x14ac:dyDescent="0.25">
      <c r="A228" s="3" t="s">
        <v>532</v>
      </c>
      <c r="B228" s="3" t="s">
        <v>533</v>
      </c>
      <c r="C228" s="3" t="s">
        <v>534</v>
      </c>
      <c r="D228" s="3" t="s">
        <v>29</v>
      </c>
      <c r="E228" s="3" t="s">
        <v>29</v>
      </c>
      <c r="F228" s="3" t="s">
        <v>538</v>
      </c>
      <c r="G228" s="3" t="s">
        <v>536</v>
      </c>
      <c r="H228" s="5" t="s">
        <v>539</v>
      </c>
      <c r="I228" s="3">
        <v>18107</v>
      </c>
      <c r="J228" s="3">
        <v>0.5</v>
      </c>
      <c r="K228" s="3">
        <v>1</v>
      </c>
      <c r="L228" s="3">
        <v>2</v>
      </c>
      <c r="M228" s="3">
        <v>0</v>
      </c>
      <c r="N228" s="3">
        <v>2</v>
      </c>
      <c r="O228" s="3">
        <v>2.5</v>
      </c>
      <c r="P228" s="3">
        <f>(IF(I228=0, 0, IF(I228&lt;=100, 1, IF(I228&lt;=1000, 3, IF(I228&lt;=10000, 6, 10)))) * (1 + J228)) * ((1 + IF(K228&lt;=20, 1, IF(K228&lt;=40, 3, 5)) + IF(L228&lt;=4, 2, IF(L228&lt;=6, 4, 6)) + M228*5) * (N228*O228))</f>
        <v>300</v>
      </c>
      <c r="Q228" s="9">
        <v>45860</v>
      </c>
      <c r="R228" s="9">
        <v>45812</v>
      </c>
      <c r="S228" s="3">
        <f ca="1">(IF(R228="", 730, TODAY()-R228) * 1) + (IF(OR(Q228="", R228&gt;Q228), IF(R228="", 730, TODAY()-R228), TODAY()-Q228) * 0.3)</f>
        <v>451</v>
      </c>
      <c r="T228" s="3">
        <f>SUMIF(A:A, A228, P:P)</f>
        <v>300</v>
      </c>
      <c r="U228" s="3">
        <v>1</v>
      </c>
      <c r="V228" s="3">
        <f ca="1">T228 * (1 +LOG10(U228)) * (1 + (S228 / 90))</f>
        <v>1803.3333333333333</v>
      </c>
    </row>
    <row r="229" spans="1:22" x14ac:dyDescent="0.25">
      <c r="A229" s="4" t="s">
        <v>540</v>
      </c>
      <c r="B229" s="4" t="s">
        <v>541</v>
      </c>
      <c r="C229" s="4" t="s">
        <v>542</v>
      </c>
      <c r="D229" s="4" t="s">
        <v>29</v>
      </c>
      <c r="E229" s="4" t="s">
        <v>29</v>
      </c>
      <c r="F229" s="4" t="s">
        <v>543</v>
      </c>
      <c r="G229" s="4" t="s">
        <v>46</v>
      </c>
      <c r="H229" s="6" t="s">
        <v>544</v>
      </c>
      <c r="I229" s="4">
        <v>0</v>
      </c>
      <c r="J229" s="4">
        <v>0</v>
      </c>
      <c r="K229" s="4">
        <v>9</v>
      </c>
      <c r="L229" s="4">
        <v>2</v>
      </c>
      <c r="M229" s="4">
        <v>0</v>
      </c>
      <c r="N229" s="4">
        <v>1.5</v>
      </c>
      <c r="O229" s="4">
        <v>1</v>
      </c>
      <c r="P229" s="3">
        <f>(IF(I229=0, 0, IF(I229&lt;=100, 1, IF(I229&lt;=1000, 3, IF(I229&lt;=10000, 6, 10)))) * (1 + J229)) * ((1 + IF(K229&lt;=20, 1, IF(K229&lt;=40, 3, 5)) + IF(L229&lt;=4, 2, IF(L229&lt;=6, 4, 6)) + M229*5) * (N229*O229))</f>
        <v>0</v>
      </c>
      <c r="Q229" s="10">
        <v>45749</v>
      </c>
      <c r="R229" s="10">
        <v>45714</v>
      </c>
      <c r="S229" s="3">
        <f ca="1">(IF(R229="", 730, TODAY()-R229) * 1) + (IF(OR(Q229="", R229&gt;Q229), IF(R229="", 730, TODAY()-R229), TODAY()-Q229) * 0.3)</f>
        <v>582.29999999999995</v>
      </c>
      <c r="T229" s="3">
        <f>SUMIF(A:A, A229, P:P)</f>
        <v>9</v>
      </c>
      <c r="U229" s="4">
        <v>2</v>
      </c>
      <c r="V229" s="3">
        <f ca="1">T229 * (1 +LOG10(U229)) * (1 + (S229 / 90))</f>
        <v>87.468246608489451</v>
      </c>
    </row>
    <row r="230" spans="1:22" x14ac:dyDescent="0.25">
      <c r="A230" s="3" t="s">
        <v>540</v>
      </c>
      <c r="B230" s="3" t="s">
        <v>541</v>
      </c>
      <c r="C230" s="3" t="s">
        <v>542</v>
      </c>
      <c r="D230" s="3" t="s">
        <v>29</v>
      </c>
      <c r="E230" s="3" t="s">
        <v>29</v>
      </c>
      <c r="F230" s="3" t="s">
        <v>545</v>
      </c>
      <c r="G230" s="3" t="s">
        <v>46</v>
      </c>
      <c r="H230" s="5" t="s">
        <v>546</v>
      </c>
      <c r="I230" s="3">
        <v>10</v>
      </c>
      <c r="J230" s="3">
        <v>0.5</v>
      </c>
      <c r="K230" s="3">
        <v>9</v>
      </c>
      <c r="L230" s="3">
        <v>2</v>
      </c>
      <c r="M230" s="3">
        <v>0</v>
      </c>
      <c r="N230" s="3">
        <v>1.5</v>
      </c>
      <c r="O230" s="3">
        <v>1</v>
      </c>
      <c r="P230" s="3">
        <f>(IF(I230=0, 0, IF(I230&lt;=100, 1, IF(I230&lt;=1000, 3, IF(I230&lt;=10000, 6, 10)))) * (1 + J230)) * ((1 + IF(K230&lt;=20, 1, IF(K230&lt;=40, 3, 5)) + IF(L230&lt;=4, 2, IF(L230&lt;=6, 4, 6)) + M230*5) * (N230*O230))</f>
        <v>9</v>
      </c>
      <c r="Q230" s="9">
        <v>46029</v>
      </c>
      <c r="R230" s="9">
        <v>45714</v>
      </c>
      <c r="S230" s="3">
        <f ca="1">(IF(R230="", 730, TODAY()-R230) * 1) + (IF(OR(Q230="", R230&gt;Q230), IF(R230="", 730, TODAY()-R230), TODAY()-Q230) * 0.3)</f>
        <v>498.3</v>
      </c>
      <c r="T230" s="3">
        <f>SUMIF(A:A, A230, P:P)</f>
        <v>9</v>
      </c>
      <c r="U230" s="3">
        <v>2</v>
      </c>
      <c r="V230" s="3">
        <f ca="1">T230 * (1 +LOG10(U230)) * (1 + (S230 / 90))</f>
        <v>76.539594644912029</v>
      </c>
    </row>
    <row r="231" spans="1:22" hidden="1" x14ac:dyDescent="0.25">
      <c r="A231" s="4" t="s">
        <v>547</v>
      </c>
      <c r="B231" s="3" t="s">
        <v>548</v>
      </c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idden="1" x14ac:dyDescent="0.25">
      <c r="A232" s="3" t="s">
        <v>549</v>
      </c>
      <c r="B232" s="4" t="s">
        <v>550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hidden="1" x14ac:dyDescent="0.25">
      <c r="A233" s="4" t="s">
        <v>551</v>
      </c>
      <c r="B233" s="3" t="s">
        <v>552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idden="1" x14ac:dyDescent="0.25">
      <c r="A234" s="3" t="s">
        <v>553</v>
      </c>
      <c r="B234" s="4" t="s">
        <v>554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hidden="1" x14ac:dyDescent="0.25">
      <c r="A235" s="4" t="s">
        <v>555</v>
      </c>
      <c r="B235" s="4" t="s">
        <v>556</v>
      </c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hidden="1" x14ac:dyDescent="0.25">
      <c r="A236" s="3" t="s">
        <v>557</v>
      </c>
      <c r="B236" s="3" t="s">
        <v>558</v>
      </c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x14ac:dyDescent="0.25">
      <c r="A237" s="4" t="s">
        <v>559</v>
      </c>
      <c r="B237" s="4" t="s">
        <v>560</v>
      </c>
      <c r="C237" s="4" t="s">
        <v>561</v>
      </c>
      <c r="D237" s="4" t="s">
        <v>29</v>
      </c>
      <c r="E237" s="4" t="s">
        <v>29</v>
      </c>
      <c r="F237" s="4" t="s">
        <v>562</v>
      </c>
      <c r="G237" s="4" t="s">
        <v>46</v>
      </c>
      <c r="H237" s="6" t="s">
        <v>563</v>
      </c>
      <c r="I237" s="4">
        <v>298</v>
      </c>
      <c r="J237" s="4">
        <v>0.5</v>
      </c>
      <c r="K237" s="4">
        <v>12</v>
      </c>
      <c r="L237" s="4">
        <v>5</v>
      </c>
      <c r="M237" s="4">
        <v>0</v>
      </c>
      <c r="N237" s="4">
        <v>1.5</v>
      </c>
      <c r="O237" s="4">
        <v>1</v>
      </c>
      <c r="P237" s="3">
        <f>(IF(I237=0, 0, IF(I237&lt;=100, 1, IF(I237&lt;=1000, 3, IF(I237&lt;=10000, 6, 10)))) * (1 + J237)) * ((1 + IF(K237&lt;=20, 1, IF(K237&lt;=40, 3, 5)) + IF(L237&lt;=4, 2, IF(L237&lt;=6, 4, 6)) + M237*5) * (N237*O237))</f>
        <v>40.5</v>
      </c>
      <c r="Q237" s="10"/>
      <c r="R237" s="10">
        <v>45875</v>
      </c>
      <c r="S237" s="3">
        <f ca="1">(IF(R237="", 730, TODAY()-R237) * 1) + (IF(OR(Q237="", R237&gt;Q237), IF(R237="", 730, TODAY()-R237), TODAY()-Q237) * 0.3)</f>
        <v>383.5</v>
      </c>
      <c r="T237" s="3">
        <f>SUMIF(A:A, A237, P:P)</f>
        <v>54</v>
      </c>
      <c r="U237" s="4">
        <v>2</v>
      </c>
      <c r="V237" s="3">
        <f ca="1">T237 * (1 +LOG10(U237)) * (1 + (S237 / 90))</f>
        <v>369.62262176813709</v>
      </c>
    </row>
    <row r="238" spans="1:22" x14ac:dyDescent="0.25">
      <c r="A238" s="3" t="s">
        <v>559</v>
      </c>
      <c r="B238" s="3" t="s">
        <v>560</v>
      </c>
      <c r="C238" s="3" t="s">
        <v>561</v>
      </c>
      <c r="D238" s="3" t="s">
        <v>29</v>
      </c>
      <c r="E238" s="3" t="s">
        <v>29</v>
      </c>
      <c r="F238" s="3" t="s">
        <v>564</v>
      </c>
      <c r="G238" s="3" t="s">
        <v>46</v>
      </c>
      <c r="H238" s="5" t="s">
        <v>563</v>
      </c>
      <c r="I238" s="3">
        <v>90</v>
      </c>
      <c r="J238" s="3">
        <v>0.5</v>
      </c>
      <c r="K238" s="3">
        <v>12</v>
      </c>
      <c r="L238" s="3">
        <v>5</v>
      </c>
      <c r="M238" s="3">
        <v>0</v>
      </c>
      <c r="N238" s="3">
        <v>1.5</v>
      </c>
      <c r="O238" s="3">
        <v>1</v>
      </c>
      <c r="P238" s="3">
        <f>(IF(I238=0, 0, IF(I238&lt;=100, 1, IF(I238&lt;=1000, 3, IF(I238&lt;=10000, 6, 10)))) * (1 + J238)) * ((1 + IF(K238&lt;=20, 1, IF(K238&lt;=40, 3, 5)) + IF(L238&lt;=4, 2, IF(L238&lt;=6, 4, 6)) + M238*5) * (N238*O238))</f>
        <v>13.5</v>
      </c>
      <c r="Q238" s="9"/>
      <c r="R238" s="9">
        <v>45875</v>
      </c>
      <c r="S238" s="3">
        <f ca="1">(IF(R238="", 730, TODAY()-R238) * 1) + (IF(OR(Q238="", R238&gt;Q238), IF(R238="", 730, TODAY()-R238), TODAY()-Q238) * 0.3)</f>
        <v>383.5</v>
      </c>
      <c r="T238" s="3">
        <f>SUMIF(A:A, A238, P:P)</f>
        <v>54</v>
      </c>
      <c r="U238" s="3">
        <v>2</v>
      </c>
      <c r="V238" s="3">
        <f ca="1">T238 * (1 +LOG10(U238)) * (1 + (S238 / 90))</f>
        <v>369.62262176813709</v>
      </c>
    </row>
    <row r="239" spans="1:22" hidden="1" x14ac:dyDescent="0.25">
      <c r="A239" s="4" t="s">
        <v>565</v>
      </c>
      <c r="B239" s="3" t="s">
        <v>566</v>
      </c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idden="1" x14ac:dyDescent="0.25">
      <c r="A240" s="3" t="s">
        <v>567</v>
      </c>
      <c r="B240" s="3" t="s">
        <v>568</v>
      </c>
      <c r="C240" s="3" t="s">
        <v>569</v>
      </c>
      <c r="D240" s="3" t="s">
        <v>29</v>
      </c>
      <c r="E240" s="3" t="s">
        <v>44</v>
      </c>
      <c r="F240" s="3" t="s">
        <v>570</v>
      </c>
      <c r="G240" s="3" t="s">
        <v>571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idden="1" x14ac:dyDescent="0.25">
      <c r="A241" s="4" t="s">
        <v>567</v>
      </c>
      <c r="B241" s="4" t="s">
        <v>568</v>
      </c>
      <c r="C241" s="4" t="s">
        <v>569</v>
      </c>
      <c r="D241" s="4" t="s">
        <v>29</v>
      </c>
      <c r="E241" s="4" t="s">
        <v>44</v>
      </c>
      <c r="F241" s="4" t="s">
        <v>572</v>
      </c>
      <c r="G241" s="4" t="s">
        <v>571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x14ac:dyDescent="0.25">
      <c r="A242" s="3" t="s">
        <v>567</v>
      </c>
      <c r="B242" s="3" t="s">
        <v>568</v>
      </c>
      <c r="C242" s="3" t="s">
        <v>569</v>
      </c>
      <c r="D242" s="3" t="s">
        <v>29</v>
      </c>
      <c r="E242" s="3" t="s">
        <v>29</v>
      </c>
      <c r="F242" s="3" t="s">
        <v>573</v>
      </c>
      <c r="G242" s="3" t="s">
        <v>571</v>
      </c>
      <c r="H242" s="5" t="s">
        <v>574</v>
      </c>
      <c r="I242" s="3">
        <v>40</v>
      </c>
      <c r="J242" s="3">
        <v>0.5</v>
      </c>
      <c r="K242" s="3">
        <v>37</v>
      </c>
      <c r="L242" s="3">
        <v>2</v>
      </c>
      <c r="M242" s="3">
        <v>0</v>
      </c>
      <c r="N242" s="3">
        <v>1.5</v>
      </c>
      <c r="O242" s="3">
        <v>1</v>
      </c>
      <c r="P242" s="3">
        <f>(IF(I242=0, 0, IF(I242&lt;=100, 1, IF(I242&lt;=1000, 3, IF(I242&lt;=10000, 6, 10)))) * (1 + J242)) * ((1 + IF(K242&lt;=20, 1, IF(K242&lt;=40, 3, 5)) + IF(L242&lt;=4, 2, IF(L242&lt;=6, 4, 6)) + M242*5) * (N242*O242))</f>
        <v>13.5</v>
      </c>
      <c r="Q242" s="9">
        <v>46027</v>
      </c>
      <c r="R242" s="9">
        <v>45845</v>
      </c>
      <c r="S242" s="3">
        <f ca="1">(IF(R242="", 730, TODAY()-R242) * 1) + (IF(OR(Q242="", R242&gt;Q242), IF(R242="", 730, TODAY()-R242), TODAY()-Q242) * 0.3)</f>
        <v>367.9</v>
      </c>
      <c r="T242" s="3">
        <f>SUMIF(A:A, A242, P:P)</f>
        <v>27</v>
      </c>
      <c r="U242" s="3">
        <v>2</v>
      </c>
      <c r="V242" s="3">
        <f ca="1">T242 * (1 +LOG10(U242)) * (1 + (S242 / 90))</f>
        <v>178.72249050436108</v>
      </c>
    </row>
    <row r="243" spans="1:22" x14ac:dyDescent="0.25">
      <c r="A243" s="4" t="s">
        <v>567</v>
      </c>
      <c r="B243" s="4" t="s">
        <v>568</v>
      </c>
      <c r="C243" s="4" t="s">
        <v>569</v>
      </c>
      <c r="D243" s="4" t="s">
        <v>29</v>
      </c>
      <c r="E243" s="4" t="s">
        <v>29</v>
      </c>
      <c r="F243" s="4" t="s">
        <v>575</v>
      </c>
      <c r="G243" s="4" t="s">
        <v>571</v>
      </c>
      <c r="H243" s="6" t="s">
        <v>574</v>
      </c>
      <c r="I243" s="4">
        <v>7</v>
      </c>
      <c r="J243" s="4">
        <v>0.5</v>
      </c>
      <c r="K243" s="4">
        <v>37</v>
      </c>
      <c r="L243" s="4">
        <v>2</v>
      </c>
      <c r="M243" s="4">
        <v>0</v>
      </c>
      <c r="N243" s="4">
        <v>1.5</v>
      </c>
      <c r="O243" s="4">
        <v>1</v>
      </c>
      <c r="P243" s="3">
        <f>(IF(I243=0, 0, IF(I243&lt;=100, 1, IF(I243&lt;=1000, 3, IF(I243&lt;=10000, 6, 10)))) * (1 + J243)) * ((1 + IF(K243&lt;=20, 1, IF(K243&lt;=40, 3, 5)) + IF(L243&lt;=4, 2, IF(L243&lt;=6, 4, 6)) + M243*5) * (N243*O243))</f>
        <v>13.5</v>
      </c>
      <c r="Q243" s="10">
        <v>46027</v>
      </c>
      <c r="R243" s="10">
        <v>45845</v>
      </c>
      <c r="S243" s="3">
        <f ca="1">(IF(R243="", 730, TODAY()-R243) * 1) + (IF(OR(Q243="", R243&gt;Q243), IF(R243="", 730, TODAY()-R243), TODAY()-Q243) * 0.3)</f>
        <v>367.9</v>
      </c>
      <c r="T243" s="3">
        <f>SUMIF(A:A, A243, P:P)</f>
        <v>27</v>
      </c>
      <c r="U243" s="4">
        <v>2</v>
      </c>
      <c r="V243" s="3">
        <f ca="1">T243 * (1 +LOG10(U243)) * (1 + (S243 / 90))</f>
        <v>178.72249050436108</v>
      </c>
    </row>
    <row r="244" spans="1:22" hidden="1" x14ac:dyDescent="0.25">
      <c r="A244" s="3" t="s">
        <v>576</v>
      </c>
      <c r="B244" s="3" t="s">
        <v>577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idden="1" x14ac:dyDescent="0.25">
      <c r="A245" s="4" t="s">
        <v>578</v>
      </c>
      <c r="B245" s="4" t="s">
        <v>579</v>
      </c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hidden="1" x14ac:dyDescent="0.25">
      <c r="A246" s="3" t="s">
        <v>580</v>
      </c>
      <c r="B246" s="4" t="s">
        <v>581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hidden="1" x14ac:dyDescent="0.25">
      <c r="A247" s="4" t="s">
        <v>582</v>
      </c>
      <c r="B247" s="4" t="s">
        <v>583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hidden="1" x14ac:dyDescent="0.25">
      <c r="A248" s="3" t="s">
        <v>584</v>
      </c>
      <c r="B248" s="3" t="s">
        <v>585</v>
      </c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idden="1" x14ac:dyDescent="0.25">
      <c r="A249" s="4" t="s">
        <v>586</v>
      </c>
      <c r="B249" s="4" t="s">
        <v>587</v>
      </c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hidden="1" x14ac:dyDescent="0.25">
      <c r="A250" s="3" t="s">
        <v>588</v>
      </c>
      <c r="B250" s="4" t="s">
        <v>589</v>
      </c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hidden="1" x14ac:dyDescent="0.25">
      <c r="A251" s="4" t="s">
        <v>590</v>
      </c>
      <c r="B251" s="3" t="s">
        <v>591</v>
      </c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idden="1" x14ac:dyDescent="0.25">
      <c r="A252" s="3" t="s">
        <v>592</v>
      </c>
      <c r="B252" s="3" t="s">
        <v>593</v>
      </c>
      <c r="C252" s="3" t="s">
        <v>594</v>
      </c>
      <c r="D252" s="3" t="s">
        <v>44</v>
      </c>
      <c r="E252" s="3" t="s">
        <v>44</v>
      </c>
      <c r="F252" s="3" t="s">
        <v>595</v>
      </c>
      <c r="G252" s="3" t="s">
        <v>46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idden="1" x14ac:dyDescent="0.25">
      <c r="A253" s="4" t="s">
        <v>592</v>
      </c>
      <c r="B253" s="4" t="s">
        <v>593</v>
      </c>
      <c r="C253" s="4" t="s">
        <v>594</v>
      </c>
      <c r="D253" s="4" t="s">
        <v>44</v>
      </c>
      <c r="E253" s="4" t="s">
        <v>44</v>
      </c>
      <c r="F253" s="4" t="s">
        <v>596</v>
      </c>
      <c r="G253" s="4" t="s">
        <v>46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hidden="1" x14ac:dyDescent="0.25">
      <c r="A254" s="3" t="s">
        <v>592</v>
      </c>
      <c r="B254" s="3" t="s">
        <v>593</v>
      </c>
      <c r="C254" s="3" t="s">
        <v>594</v>
      </c>
      <c r="D254" s="3" t="s">
        <v>44</v>
      </c>
      <c r="E254" s="3" t="s">
        <v>44</v>
      </c>
      <c r="F254" s="3" t="s">
        <v>597</v>
      </c>
      <c r="G254" s="3" t="s">
        <v>46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x14ac:dyDescent="0.25">
      <c r="A255" s="4" t="s">
        <v>598</v>
      </c>
      <c r="B255" s="4" t="s">
        <v>599</v>
      </c>
      <c r="C255" s="4" t="s">
        <v>600</v>
      </c>
      <c r="D255" s="4" t="s">
        <v>29</v>
      </c>
      <c r="E255" s="4" t="s">
        <v>29</v>
      </c>
      <c r="F255" s="4" t="s">
        <v>601</v>
      </c>
      <c r="G255" s="4" t="s">
        <v>46</v>
      </c>
      <c r="H255" s="6" t="s">
        <v>602</v>
      </c>
      <c r="I255" s="4">
        <v>105</v>
      </c>
      <c r="J255" s="4">
        <v>0.5</v>
      </c>
      <c r="K255" s="4">
        <v>17</v>
      </c>
      <c r="L255" s="4">
        <v>1</v>
      </c>
      <c r="M255" s="4">
        <v>0</v>
      </c>
      <c r="N255" s="4">
        <v>1</v>
      </c>
      <c r="O255" s="4">
        <v>1</v>
      </c>
      <c r="P255" s="3">
        <f t="shared" ref="P255:P262" si="4">(IF(I255=0, 0, IF(I255&lt;=100, 1, IF(I255&lt;=1000, 3, IF(I255&lt;=10000, 6, 10)))) * (1 + J255)) * ((1 + IF(K255&lt;=20, 1, IF(K255&lt;=40, 3, 5)) + IF(L255&lt;=4, 2, IF(L255&lt;=6, 4, 6)) + M255*5) * (N255*O255))</f>
        <v>18</v>
      </c>
      <c r="Q255" s="10"/>
      <c r="R255" s="10">
        <v>45860</v>
      </c>
      <c r="S255" s="3">
        <f t="shared" ref="S255:S262" ca="1" si="5">(IF(R255="", 730, TODAY()-R255) * 1) + (IF(OR(Q255="", R255&gt;Q255), IF(R255="", 730, TODAY()-R255), TODAY()-Q255) * 0.3)</f>
        <v>403</v>
      </c>
      <c r="T255" s="3">
        <f t="shared" ref="T255:T262" si="6">SUMIF(A:A, A255, P:P)</f>
        <v>54</v>
      </c>
      <c r="U255" s="4">
        <v>5</v>
      </c>
      <c r="V255" s="3">
        <f t="shared" ref="V255:V262" ca="1" si="7">T255 * (1 +LOG10(U255)) * (1 + (S255 / 90))</f>
        <v>502.55532728259436</v>
      </c>
    </row>
    <row r="256" spans="1:22" x14ac:dyDescent="0.25">
      <c r="A256" s="3" t="s">
        <v>598</v>
      </c>
      <c r="B256" s="3" t="s">
        <v>599</v>
      </c>
      <c r="C256" s="3" t="s">
        <v>600</v>
      </c>
      <c r="D256" s="3" t="s">
        <v>29</v>
      </c>
      <c r="E256" s="3" t="s">
        <v>29</v>
      </c>
      <c r="F256" s="3" t="s">
        <v>603</v>
      </c>
      <c r="G256" s="3" t="s">
        <v>46</v>
      </c>
      <c r="H256" s="5" t="s">
        <v>602</v>
      </c>
      <c r="I256" s="3">
        <v>10</v>
      </c>
      <c r="J256" s="3">
        <v>0.5</v>
      </c>
      <c r="K256" s="3">
        <v>17</v>
      </c>
      <c r="L256" s="3">
        <v>1</v>
      </c>
      <c r="M256" s="3">
        <v>0</v>
      </c>
      <c r="N256" s="3">
        <v>1</v>
      </c>
      <c r="O256" s="3">
        <v>1</v>
      </c>
      <c r="P256" s="3">
        <f t="shared" si="4"/>
        <v>6</v>
      </c>
      <c r="Q256" s="9"/>
      <c r="R256" s="9">
        <v>45860</v>
      </c>
      <c r="S256" s="3">
        <f t="shared" ca="1" si="5"/>
        <v>403</v>
      </c>
      <c r="T256" s="3">
        <f t="shared" si="6"/>
        <v>54</v>
      </c>
      <c r="U256" s="3">
        <v>5</v>
      </c>
      <c r="V256" s="3">
        <f t="shared" ca="1" si="7"/>
        <v>502.55532728259436</v>
      </c>
    </row>
    <row r="257" spans="1:22" x14ac:dyDescent="0.25">
      <c r="A257" s="4" t="s">
        <v>598</v>
      </c>
      <c r="B257" s="4" t="s">
        <v>599</v>
      </c>
      <c r="C257" s="4" t="s">
        <v>600</v>
      </c>
      <c r="D257" s="4" t="s">
        <v>29</v>
      </c>
      <c r="E257" s="4" t="s">
        <v>29</v>
      </c>
      <c r="F257" s="4" t="s">
        <v>604</v>
      </c>
      <c r="G257" s="4" t="s">
        <v>46</v>
      </c>
      <c r="H257" s="6" t="s">
        <v>602</v>
      </c>
      <c r="I257" s="4">
        <v>166</v>
      </c>
      <c r="J257" s="4">
        <v>0.5</v>
      </c>
      <c r="K257" s="4">
        <v>17</v>
      </c>
      <c r="L257" s="4">
        <v>1</v>
      </c>
      <c r="M257" s="4">
        <v>0</v>
      </c>
      <c r="N257" s="4">
        <v>1</v>
      </c>
      <c r="O257" s="4">
        <v>1</v>
      </c>
      <c r="P257" s="3">
        <f t="shared" si="4"/>
        <v>18</v>
      </c>
      <c r="Q257" s="10"/>
      <c r="R257" s="10">
        <v>45860</v>
      </c>
      <c r="S257" s="3">
        <f t="shared" ca="1" si="5"/>
        <v>403</v>
      </c>
      <c r="T257" s="3">
        <f t="shared" si="6"/>
        <v>54</v>
      </c>
      <c r="U257" s="4">
        <v>5</v>
      </c>
      <c r="V257" s="3">
        <f t="shared" ca="1" si="7"/>
        <v>502.55532728259436</v>
      </c>
    </row>
    <row r="258" spans="1:22" x14ac:dyDescent="0.25">
      <c r="A258" s="3" t="s">
        <v>598</v>
      </c>
      <c r="B258" s="3" t="s">
        <v>599</v>
      </c>
      <c r="C258" s="3" t="s">
        <v>600</v>
      </c>
      <c r="D258" s="3" t="s">
        <v>29</v>
      </c>
      <c r="E258" s="3" t="s">
        <v>29</v>
      </c>
      <c r="F258" s="3" t="s">
        <v>605</v>
      </c>
      <c r="G258" s="3" t="s">
        <v>46</v>
      </c>
      <c r="H258" s="5" t="s">
        <v>602</v>
      </c>
      <c r="I258" s="3">
        <v>5</v>
      </c>
      <c r="J258" s="3">
        <v>0.5</v>
      </c>
      <c r="K258" s="3">
        <v>17</v>
      </c>
      <c r="L258" s="3">
        <v>1</v>
      </c>
      <c r="M258" s="3">
        <v>0</v>
      </c>
      <c r="N258" s="3">
        <v>1</v>
      </c>
      <c r="O258" s="3">
        <v>1</v>
      </c>
      <c r="P258" s="3">
        <f t="shared" si="4"/>
        <v>6</v>
      </c>
      <c r="Q258" s="9"/>
      <c r="R258" s="9">
        <v>45860</v>
      </c>
      <c r="S258" s="3">
        <f t="shared" ca="1" si="5"/>
        <v>403</v>
      </c>
      <c r="T258" s="3">
        <f t="shared" si="6"/>
        <v>54</v>
      </c>
      <c r="U258" s="3">
        <v>5</v>
      </c>
      <c r="V258" s="3">
        <f t="shared" ca="1" si="7"/>
        <v>502.55532728259436</v>
      </c>
    </row>
    <row r="259" spans="1:22" x14ac:dyDescent="0.25">
      <c r="A259" s="4" t="s">
        <v>598</v>
      </c>
      <c r="B259" s="4" t="s">
        <v>599</v>
      </c>
      <c r="C259" s="4" t="s">
        <v>600</v>
      </c>
      <c r="D259" s="4" t="s">
        <v>29</v>
      </c>
      <c r="E259" s="4" t="s">
        <v>29</v>
      </c>
      <c r="F259" s="4" t="s">
        <v>606</v>
      </c>
      <c r="G259" s="4" t="s">
        <v>46</v>
      </c>
      <c r="H259" s="6" t="s">
        <v>602</v>
      </c>
      <c r="I259" s="4">
        <v>6</v>
      </c>
      <c r="J259" s="4">
        <v>0.5</v>
      </c>
      <c r="K259" s="4">
        <v>17</v>
      </c>
      <c r="L259" s="4">
        <v>1</v>
      </c>
      <c r="M259" s="4">
        <v>0</v>
      </c>
      <c r="N259" s="4">
        <v>1</v>
      </c>
      <c r="O259" s="4">
        <v>1</v>
      </c>
      <c r="P259" s="3">
        <f t="shared" si="4"/>
        <v>6</v>
      </c>
      <c r="Q259" s="10"/>
      <c r="R259" s="10">
        <v>45860</v>
      </c>
      <c r="S259" s="3">
        <f t="shared" ca="1" si="5"/>
        <v>403</v>
      </c>
      <c r="T259" s="3">
        <f t="shared" si="6"/>
        <v>54</v>
      </c>
      <c r="U259" s="4">
        <v>5</v>
      </c>
      <c r="V259" s="3">
        <f t="shared" ca="1" si="7"/>
        <v>502.55532728259436</v>
      </c>
    </row>
    <row r="260" spans="1:22" x14ac:dyDescent="0.25">
      <c r="A260" s="3" t="s">
        <v>607</v>
      </c>
      <c r="B260" s="3" t="s">
        <v>608</v>
      </c>
      <c r="C260" s="3" t="s">
        <v>609</v>
      </c>
      <c r="D260" s="3" t="s">
        <v>29</v>
      </c>
      <c r="E260" s="3" t="s">
        <v>29</v>
      </c>
      <c r="F260" s="3" t="s">
        <v>610</v>
      </c>
      <c r="G260" s="3" t="s">
        <v>46</v>
      </c>
      <c r="H260" s="5" t="s">
        <v>611</v>
      </c>
      <c r="I260" s="3">
        <v>1125</v>
      </c>
      <c r="J260" s="3">
        <v>0.5</v>
      </c>
      <c r="K260" s="3">
        <v>11</v>
      </c>
      <c r="L260" s="3">
        <v>2</v>
      </c>
      <c r="M260" s="3">
        <v>0</v>
      </c>
      <c r="N260" s="3">
        <v>1</v>
      </c>
      <c r="O260" s="3">
        <v>1</v>
      </c>
      <c r="P260" s="3">
        <f t="shared" si="4"/>
        <v>36</v>
      </c>
      <c r="Q260" s="9"/>
      <c r="R260" s="9">
        <v>45897</v>
      </c>
      <c r="S260" s="3">
        <f t="shared" ca="1" si="5"/>
        <v>354.9</v>
      </c>
      <c r="T260" s="3">
        <f t="shared" si="6"/>
        <v>60</v>
      </c>
      <c r="U260" s="3">
        <v>3</v>
      </c>
      <c r="V260" s="3">
        <f t="shared" ca="1" si="7"/>
        <v>438.11416414985189</v>
      </c>
    </row>
    <row r="261" spans="1:22" x14ac:dyDescent="0.25">
      <c r="A261" s="4" t="s">
        <v>607</v>
      </c>
      <c r="B261" s="4" t="s">
        <v>608</v>
      </c>
      <c r="C261" s="4" t="s">
        <v>609</v>
      </c>
      <c r="D261" s="4" t="s">
        <v>29</v>
      </c>
      <c r="E261" s="4" t="s">
        <v>29</v>
      </c>
      <c r="F261" s="4" t="s">
        <v>612</v>
      </c>
      <c r="G261" s="4" t="s">
        <v>46</v>
      </c>
      <c r="H261" s="6" t="s">
        <v>611</v>
      </c>
      <c r="I261" s="4">
        <v>208</v>
      </c>
      <c r="J261" s="4">
        <v>0.5</v>
      </c>
      <c r="K261" s="4">
        <v>11</v>
      </c>
      <c r="L261" s="4">
        <v>2</v>
      </c>
      <c r="M261" s="4">
        <v>0</v>
      </c>
      <c r="N261" s="4">
        <v>1</v>
      </c>
      <c r="O261" s="4">
        <v>1</v>
      </c>
      <c r="P261" s="3">
        <f t="shared" si="4"/>
        <v>18</v>
      </c>
      <c r="Q261" s="10"/>
      <c r="R261" s="10">
        <v>45897</v>
      </c>
      <c r="S261" s="3">
        <f t="shared" ca="1" si="5"/>
        <v>354.9</v>
      </c>
      <c r="T261" s="3">
        <f t="shared" si="6"/>
        <v>60</v>
      </c>
      <c r="U261" s="4">
        <v>3</v>
      </c>
      <c r="V261" s="3">
        <f t="shared" ca="1" si="7"/>
        <v>438.11416414985189</v>
      </c>
    </row>
    <row r="262" spans="1:22" x14ac:dyDescent="0.25">
      <c r="A262" s="3" t="s">
        <v>607</v>
      </c>
      <c r="B262" s="3" t="s">
        <v>608</v>
      </c>
      <c r="C262" s="3" t="s">
        <v>609</v>
      </c>
      <c r="D262" s="3" t="s">
        <v>29</v>
      </c>
      <c r="E262" s="3" t="s">
        <v>29</v>
      </c>
      <c r="F262" s="3" t="s">
        <v>613</v>
      </c>
      <c r="G262" s="3" t="s">
        <v>46</v>
      </c>
      <c r="H262" s="5" t="s">
        <v>611</v>
      </c>
      <c r="I262" s="3">
        <v>30</v>
      </c>
      <c r="J262" s="3">
        <v>0.5</v>
      </c>
      <c r="K262" s="3">
        <v>11</v>
      </c>
      <c r="L262" s="3">
        <v>2</v>
      </c>
      <c r="M262" s="3">
        <v>0</v>
      </c>
      <c r="N262" s="3">
        <v>1</v>
      </c>
      <c r="O262" s="3">
        <v>1</v>
      </c>
      <c r="P262" s="3">
        <f t="shared" si="4"/>
        <v>6</v>
      </c>
      <c r="Q262" s="9"/>
      <c r="R262" s="9">
        <v>45897</v>
      </c>
      <c r="S262" s="3">
        <f t="shared" ca="1" si="5"/>
        <v>354.9</v>
      </c>
      <c r="T262" s="3">
        <f t="shared" si="6"/>
        <v>60</v>
      </c>
      <c r="U262" s="3">
        <v>3</v>
      </c>
      <c r="V262" s="3">
        <f t="shared" ca="1" si="7"/>
        <v>438.11416414985189</v>
      </c>
    </row>
    <row r="263" spans="1:22" hidden="1" x14ac:dyDescent="0.25">
      <c r="A263" s="4" t="s">
        <v>614</v>
      </c>
      <c r="B263" s="3" t="s">
        <v>615</v>
      </c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idden="1" x14ac:dyDescent="0.25">
      <c r="A264" s="3" t="s">
        <v>616</v>
      </c>
      <c r="B264" s="3" t="s">
        <v>617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x14ac:dyDescent="0.25">
      <c r="A265" s="4" t="s">
        <v>618</v>
      </c>
      <c r="B265" s="3" t="s">
        <v>619</v>
      </c>
      <c r="C265" s="3" t="s">
        <v>620</v>
      </c>
      <c r="D265" s="3" t="s">
        <v>29</v>
      </c>
      <c r="E265" s="3" t="s">
        <v>29</v>
      </c>
      <c r="F265" s="3" t="s">
        <v>621</v>
      </c>
      <c r="G265" s="3" t="s">
        <v>622</v>
      </c>
      <c r="H265" s="5" t="s">
        <v>623</v>
      </c>
      <c r="I265" s="3">
        <v>187</v>
      </c>
      <c r="J265" s="3">
        <v>0.5</v>
      </c>
      <c r="K265" s="3">
        <v>21</v>
      </c>
      <c r="L265" s="3">
        <v>0</v>
      </c>
      <c r="M265" s="3">
        <v>0</v>
      </c>
      <c r="N265" s="3">
        <v>1</v>
      </c>
      <c r="O265" s="3">
        <v>1</v>
      </c>
      <c r="P265" s="3">
        <f>(IF(I265=0, 0, IF(I265&lt;=100, 1, IF(I265&lt;=1000, 3, IF(I265&lt;=10000, 6, 10)))) * (1 + J265)) * ((1 + IF(K265&lt;=20, 1, IF(K265&lt;=40, 3, 5)) + IF(L265&lt;=4, 2, IF(L265&lt;=6, 4, 6)) + M265*5) * (N265*O265))</f>
        <v>27</v>
      </c>
      <c r="Q265" s="9"/>
      <c r="R265" s="9">
        <v>45890</v>
      </c>
      <c r="S265" s="3">
        <f ca="1">(IF(R265="", 730, TODAY()-R265) * 1) + (IF(OR(Q265="", R265&gt;Q265), IF(R265="", 730, TODAY()-R265), TODAY()-Q265) * 0.3)</f>
        <v>364</v>
      </c>
      <c r="T265" s="3">
        <f>SUMIF(A:A, A265, P:P)</f>
        <v>27</v>
      </c>
      <c r="U265" s="3">
        <v>1</v>
      </c>
      <c r="V265" s="3">
        <f ca="1">T265 * (1 +LOG10(U265)) * (1 + (S265 / 90))</f>
        <v>136.19999999999999</v>
      </c>
    </row>
    <row r="266" spans="1:22" hidden="1" x14ac:dyDescent="0.25">
      <c r="A266" s="3" t="s">
        <v>624</v>
      </c>
      <c r="B266" s="4" t="s">
        <v>625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hidden="1" x14ac:dyDescent="0.25">
      <c r="A267" s="4" t="s">
        <v>626</v>
      </c>
      <c r="B267" s="3" t="s">
        <v>627</v>
      </c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idden="1" x14ac:dyDescent="0.25">
      <c r="A268" s="3" t="s">
        <v>628</v>
      </c>
      <c r="B268" s="3" t="s">
        <v>629</v>
      </c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idden="1" x14ac:dyDescent="0.25">
      <c r="A269" s="4" t="s">
        <v>630</v>
      </c>
      <c r="B269" s="4" t="s">
        <v>631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hidden="1" x14ac:dyDescent="0.25">
      <c r="A270" s="3" t="s">
        <v>632</v>
      </c>
      <c r="B270" s="4" t="s">
        <v>633</v>
      </c>
      <c r="C270" s="4" t="s">
        <v>634</v>
      </c>
      <c r="D270" s="4" t="s">
        <v>44</v>
      </c>
      <c r="E270" s="4" t="s">
        <v>29</v>
      </c>
      <c r="F270" s="4" t="s">
        <v>635</v>
      </c>
      <c r="G270" s="4" t="s">
        <v>46</v>
      </c>
      <c r="H270" s="6" t="s">
        <v>636</v>
      </c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hidden="1" x14ac:dyDescent="0.25">
      <c r="A271" s="4" t="s">
        <v>632</v>
      </c>
      <c r="B271" s="3" t="s">
        <v>633</v>
      </c>
      <c r="C271" s="3" t="s">
        <v>634</v>
      </c>
      <c r="D271" s="3" t="s">
        <v>44</v>
      </c>
      <c r="E271" s="3" t="s">
        <v>29</v>
      </c>
      <c r="F271" s="3" t="s">
        <v>637</v>
      </c>
      <c r="G271" s="3" t="s">
        <v>46</v>
      </c>
      <c r="H271" s="5" t="s">
        <v>636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idden="1" x14ac:dyDescent="0.25">
      <c r="A272" s="3" t="s">
        <v>638</v>
      </c>
      <c r="B272" s="4" t="s">
        <v>639</v>
      </c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hidden="1" x14ac:dyDescent="0.25">
      <c r="A273" s="4" t="s">
        <v>640</v>
      </c>
      <c r="B273" s="3" t="s">
        <v>641</v>
      </c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idden="1" x14ac:dyDescent="0.25">
      <c r="A274" s="3" t="s">
        <v>642</v>
      </c>
      <c r="B274" s="4" t="s">
        <v>643</v>
      </c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hidden="1" x14ac:dyDescent="0.25">
      <c r="A275" s="4" t="s">
        <v>644</v>
      </c>
      <c r="B275" s="4" t="s">
        <v>645</v>
      </c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spans="1:22" hidden="1" x14ac:dyDescent="0.25">
      <c r="A276" s="3" t="s">
        <v>646</v>
      </c>
      <c r="B276" s="4" t="s">
        <v>647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spans="1:22" hidden="1" x14ac:dyDescent="0.25">
      <c r="A277" s="4" t="s">
        <v>648</v>
      </c>
      <c r="B277" s="4" t="s">
        <v>649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spans="1:22" hidden="1" x14ac:dyDescent="0.25">
      <c r="A278" s="3" t="s">
        <v>650</v>
      </c>
      <c r="B278" s="3" t="s">
        <v>651</v>
      </c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idden="1" x14ac:dyDescent="0.25">
      <c r="A279" s="4" t="s">
        <v>652</v>
      </c>
      <c r="B279" s="4" t="s">
        <v>653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spans="1:22" hidden="1" x14ac:dyDescent="0.25">
      <c r="A280" s="3" t="s">
        <v>654</v>
      </c>
      <c r="B280" s="4" t="s">
        <v>655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spans="1:22" hidden="1" x14ac:dyDescent="0.25">
      <c r="A281" s="4" t="s">
        <v>656</v>
      </c>
      <c r="B281" s="3" t="s">
        <v>657</v>
      </c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idden="1" x14ac:dyDescent="0.25">
      <c r="A282" s="3" t="s">
        <v>658</v>
      </c>
      <c r="B282" s="4" t="s">
        <v>659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spans="1:22" hidden="1" x14ac:dyDescent="0.25">
      <c r="A283" s="4" t="s">
        <v>660</v>
      </c>
      <c r="B283" s="4" t="s">
        <v>661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spans="1:22" hidden="1" x14ac:dyDescent="0.25">
      <c r="A284" s="3" t="s">
        <v>662</v>
      </c>
      <c r="B284" s="3" t="s">
        <v>663</v>
      </c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idden="1" x14ac:dyDescent="0.25">
      <c r="A285" s="4" t="s">
        <v>664</v>
      </c>
      <c r="B285" s="4" t="s">
        <v>665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spans="1:22" hidden="1" x14ac:dyDescent="0.25">
      <c r="A286" s="3" t="s">
        <v>666</v>
      </c>
      <c r="B286" s="4" t="s">
        <v>667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spans="1:22" hidden="1" x14ac:dyDescent="0.25">
      <c r="A287" s="4" t="s">
        <v>668</v>
      </c>
      <c r="B287" s="3" t="s">
        <v>669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idden="1" x14ac:dyDescent="0.25">
      <c r="A288" s="3" t="s">
        <v>670</v>
      </c>
      <c r="B288" s="3" t="s">
        <v>671</v>
      </c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idden="1" x14ac:dyDescent="0.25">
      <c r="A289" s="4" t="s">
        <v>672</v>
      </c>
      <c r="B289" s="4" t="s">
        <v>673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spans="1:22" hidden="1" x14ac:dyDescent="0.25">
      <c r="A290" s="3" t="s">
        <v>674</v>
      </c>
      <c r="B290" s="3" t="s">
        <v>675</v>
      </c>
      <c r="C290" s="3" t="s">
        <v>676</v>
      </c>
      <c r="D290" s="3" t="s">
        <v>29</v>
      </c>
      <c r="E290" s="3" t="s">
        <v>44</v>
      </c>
      <c r="F290" s="3" t="s">
        <v>677</v>
      </c>
      <c r="G290" s="3" t="s">
        <v>46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x14ac:dyDescent="0.25">
      <c r="A291" s="4" t="s">
        <v>674</v>
      </c>
      <c r="B291" s="4" t="s">
        <v>675</v>
      </c>
      <c r="C291" s="4" t="s">
        <v>676</v>
      </c>
      <c r="D291" s="4" t="s">
        <v>29</v>
      </c>
      <c r="E291" s="4" t="s">
        <v>29</v>
      </c>
      <c r="F291" s="4" t="s">
        <v>678</v>
      </c>
      <c r="G291" s="4" t="s">
        <v>46</v>
      </c>
      <c r="H291" s="6" t="s">
        <v>679</v>
      </c>
      <c r="I291" s="4">
        <v>1</v>
      </c>
      <c r="J291" s="4">
        <v>0.5</v>
      </c>
      <c r="K291" s="4">
        <v>107</v>
      </c>
      <c r="L291" s="4">
        <v>10</v>
      </c>
      <c r="M291" s="4">
        <v>0</v>
      </c>
      <c r="N291" s="4">
        <v>2</v>
      </c>
      <c r="O291" s="4">
        <v>1</v>
      </c>
      <c r="P291" s="3">
        <f>(IF(I291=0, 0, IF(I291&lt;=100, 1, IF(I291&lt;=1000, 3, IF(I291&lt;=10000, 6, 10)))) * (1 + J291)) * ((1 + IF(K291&lt;=20, 1, IF(K291&lt;=40, 3, 5)) + IF(L291&lt;=4, 2, IF(L291&lt;=6, 4, 6)) + M291*5) * (N291*O291))</f>
        <v>36</v>
      </c>
      <c r="Q291" s="10">
        <v>45957</v>
      </c>
      <c r="R291" s="10">
        <v>45804</v>
      </c>
      <c r="S291" s="3">
        <f ca="1">(IF(R291="", 730, TODAY()-R291) * 1) + (IF(OR(Q291="", R291&gt;Q291), IF(R291="", 730, TODAY()-R291), TODAY()-Q291) * 0.3)</f>
        <v>429.9</v>
      </c>
      <c r="T291" s="3">
        <f>SUMIF(A:A, A291, P:P)</f>
        <v>312</v>
      </c>
      <c r="U291" s="4">
        <v>5</v>
      </c>
      <c r="V291" s="3">
        <f ca="1">T291 * (1 +LOG10(U291)) * (1 + (S291 / 90))</f>
        <v>3062.0876182148932</v>
      </c>
    </row>
    <row r="292" spans="1:22" x14ac:dyDescent="0.25">
      <c r="A292" s="3" t="s">
        <v>674</v>
      </c>
      <c r="B292" s="3" t="s">
        <v>675</v>
      </c>
      <c r="C292" s="3" t="s">
        <v>676</v>
      </c>
      <c r="D292" s="3" t="s">
        <v>29</v>
      </c>
      <c r="E292" s="3" t="s">
        <v>29</v>
      </c>
      <c r="F292" s="3" t="s">
        <v>680</v>
      </c>
      <c r="G292" s="3" t="s">
        <v>46</v>
      </c>
      <c r="H292" s="5" t="s">
        <v>679</v>
      </c>
      <c r="I292" s="3">
        <v>4</v>
      </c>
      <c r="J292" s="3">
        <v>0.5</v>
      </c>
      <c r="K292" s="3">
        <v>107</v>
      </c>
      <c r="L292" s="3">
        <v>10</v>
      </c>
      <c r="M292" s="3">
        <v>0</v>
      </c>
      <c r="N292" s="3">
        <v>2</v>
      </c>
      <c r="O292" s="3">
        <v>1</v>
      </c>
      <c r="P292" s="3">
        <f>(IF(I292=0, 0, IF(I292&lt;=100, 1, IF(I292&lt;=1000, 3, IF(I292&lt;=10000, 6, 10)))) * (1 + J292)) * ((1 + IF(K292&lt;=20, 1, IF(K292&lt;=40, 3, 5)) + IF(L292&lt;=4, 2, IF(L292&lt;=6, 4, 6)) + M292*5) * (N292*O292))</f>
        <v>36</v>
      </c>
      <c r="Q292" s="9">
        <v>45957</v>
      </c>
      <c r="R292" s="9">
        <v>45804</v>
      </c>
      <c r="S292" s="3">
        <f ca="1">(IF(R292="", 730, TODAY()-R292) * 1) + (IF(OR(Q292="", R292&gt;Q292), IF(R292="", 730, TODAY()-R292), TODAY()-Q292) * 0.3)</f>
        <v>429.9</v>
      </c>
      <c r="T292" s="3">
        <f>SUMIF(A:A, A292, P:P)</f>
        <v>312</v>
      </c>
      <c r="U292" s="3">
        <v>5</v>
      </c>
      <c r="V292" s="3">
        <f ca="1">T292 * (1 +LOG10(U292)) * (1 + (S292 / 90))</f>
        <v>3062.0876182148932</v>
      </c>
    </row>
    <row r="293" spans="1:22" x14ac:dyDescent="0.25">
      <c r="A293" s="4" t="s">
        <v>674</v>
      </c>
      <c r="B293" s="4" t="s">
        <v>675</v>
      </c>
      <c r="C293" s="4" t="s">
        <v>676</v>
      </c>
      <c r="D293" s="4" t="s">
        <v>29</v>
      </c>
      <c r="E293" s="4" t="s">
        <v>29</v>
      </c>
      <c r="F293" s="4" t="s">
        <v>681</v>
      </c>
      <c r="G293" s="4" t="s">
        <v>46</v>
      </c>
      <c r="H293" s="6" t="s">
        <v>679</v>
      </c>
      <c r="I293" s="4">
        <v>22</v>
      </c>
      <c r="J293" s="4">
        <v>0.5</v>
      </c>
      <c r="K293" s="4">
        <v>107</v>
      </c>
      <c r="L293" s="4">
        <v>11</v>
      </c>
      <c r="M293" s="4">
        <v>0</v>
      </c>
      <c r="N293" s="4">
        <v>2</v>
      </c>
      <c r="O293" s="4">
        <v>1</v>
      </c>
      <c r="P293" s="3">
        <f>(IF(I293=0, 0, IF(I293&lt;=100, 1, IF(I293&lt;=1000, 3, IF(I293&lt;=10000, 6, 10)))) * (1 + J293)) * ((1 + IF(K293&lt;=20, 1, IF(K293&lt;=40, 3, 5)) + IF(L293&lt;=4, 2, IF(L293&lt;=6, 4, 6)) + M293*5) * (N293*O293))</f>
        <v>36</v>
      </c>
      <c r="Q293" s="10">
        <v>45957</v>
      </c>
      <c r="R293" s="10">
        <v>45804</v>
      </c>
      <c r="S293" s="3">
        <f ca="1">(IF(R293="", 730, TODAY()-R293) * 1) + (IF(OR(Q293="", R293&gt;Q293), IF(R293="", 730, TODAY()-R293), TODAY()-Q293) * 0.3)</f>
        <v>429.9</v>
      </c>
      <c r="T293" s="3">
        <f>SUMIF(A:A, A293, P:P)</f>
        <v>312</v>
      </c>
      <c r="U293" s="4">
        <v>5</v>
      </c>
      <c r="V293" s="3">
        <f ca="1">T293 * (1 +LOG10(U293)) * (1 + (S293 / 90))</f>
        <v>3062.0876182148932</v>
      </c>
    </row>
    <row r="294" spans="1:22" x14ac:dyDescent="0.25">
      <c r="A294" s="3" t="s">
        <v>674</v>
      </c>
      <c r="B294" s="3" t="s">
        <v>675</v>
      </c>
      <c r="C294" s="3" t="s">
        <v>676</v>
      </c>
      <c r="D294" s="3" t="s">
        <v>29</v>
      </c>
      <c r="E294" s="3" t="s">
        <v>29</v>
      </c>
      <c r="F294" s="3" t="s">
        <v>682</v>
      </c>
      <c r="G294" s="3" t="s">
        <v>46</v>
      </c>
      <c r="H294" s="5" t="s">
        <v>679</v>
      </c>
      <c r="I294" s="3">
        <v>152</v>
      </c>
      <c r="J294" s="3">
        <v>0.5</v>
      </c>
      <c r="K294" s="3">
        <v>107</v>
      </c>
      <c r="L294" s="3">
        <v>11</v>
      </c>
      <c r="M294" s="3">
        <v>1</v>
      </c>
      <c r="N294" s="3">
        <v>2</v>
      </c>
      <c r="O294" s="3">
        <v>1</v>
      </c>
      <c r="P294" s="3">
        <f>(IF(I294=0, 0, IF(I294&lt;=100, 1, IF(I294&lt;=1000, 3, IF(I294&lt;=10000, 6, 10)))) * (1 + J294)) * ((1 + IF(K294&lt;=20, 1, IF(K294&lt;=40, 3, 5)) + IF(L294&lt;=4, 2, IF(L294&lt;=6, 4, 6)) + M294*5) * (N294*O294))</f>
        <v>153</v>
      </c>
      <c r="Q294" s="9">
        <v>45957</v>
      </c>
      <c r="R294" s="9">
        <v>45863</v>
      </c>
      <c r="S294" s="3">
        <f ca="1">(IF(R294="", 730, TODAY()-R294) * 1) + (IF(OR(Q294="", R294&gt;Q294), IF(R294="", 730, TODAY()-R294), TODAY()-Q294) * 0.3)</f>
        <v>370.9</v>
      </c>
      <c r="T294" s="3">
        <f>SUMIF(A:A, A294, P:P)</f>
        <v>312</v>
      </c>
      <c r="U294" s="3">
        <v>5</v>
      </c>
      <c r="V294" s="3">
        <f ca="1">T294 * (1 +LOG10(U294)) * (1 + (S294 / 90))</f>
        <v>2714.5916199946992</v>
      </c>
    </row>
    <row r="295" spans="1:22" x14ac:dyDescent="0.25">
      <c r="A295" s="4" t="s">
        <v>674</v>
      </c>
      <c r="B295" s="4" t="s">
        <v>675</v>
      </c>
      <c r="C295" s="4" t="s">
        <v>676</v>
      </c>
      <c r="D295" s="4" t="s">
        <v>29</v>
      </c>
      <c r="E295" s="4" t="s">
        <v>29</v>
      </c>
      <c r="F295" s="4" t="s">
        <v>683</v>
      </c>
      <c r="G295" s="4" t="s">
        <v>46</v>
      </c>
      <c r="H295" s="6" t="s">
        <v>679</v>
      </c>
      <c r="I295" s="4">
        <v>1</v>
      </c>
      <c r="J295" s="4">
        <v>0.5</v>
      </c>
      <c r="K295" s="4">
        <v>107</v>
      </c>
      <c r="L295" s="4">
        <v>11</v>
      </c>
      <c r="M295" s="4">
        <v>1</v>
      </c>
      <c r="N295" s="4">
        <v>2</v>
      </c>
      <c r="O295" s="4">
        <v>1</v>
      </c>
      <c r="P295" s="3">
        <f>(IF(I295=0, 0, IF(I295&lt;=100, 1, IF(I295&lt;=1000, 3, IF(I295&lt;=10000, 6, 10)))) * (1 + J295)) * ((1 + IF(K295&lt;=20, 1, IF(K295&lt;=40, 3, 5)) + IF(L295&lt;=4, 2, IF(L295&lt;=6, 4, 6)) + M295*5) * (N295*O295))</f>
        <v>51</v>
      </c>
      <c r="Q295" s="10">
        <v>45957</v>
      </c>
      <c r="R295" s="10">
        <v>45863</v>
      </c>
      <c r="S295" s="3">
        <f ca="1">(IF(R295="", 730, TODAY()-R295) * 1) + (IF(OR(Q295="", R295&gt;Q295), IF(R295="", 730, TODAY()-R295), TODAY()-Q295) * 0.3)</f>
        <v>370.9</v>
      </c>
      <c r="T295" s="3">
        <f>SUMIF(A:A, A295, P:P)</f>
        <v>312</v>
      </c>
      <c r="U295" s="4">
        <v>5</v>
      </c>
      <c r="V295" s="3">
        <f ca="1">T295 * (1 +LOG10(U295)) * (1 + (S295 / 90))</f>
        <v>2714.5916199946992</v>
      </c>
    </row>
    <row r="296" spans="1:22" hidden="1" x14ac:dyDescent="0.25">
      <c r="A296" s="3" t="s">
        <v>684</v>
      </c>
      <c r="B296" s="4" t="s">
        <v>685</v>
      </c>
      <c r="C296" s="4" t="s">
        <v>686</v>
      </c>
      <c r="D296" s="4" t="s">
        <v>44</v>
      </c>
      <c r="E296" s="4" t="s">
        <v>44</v>
      </c>
      <c r="F296" s="4" t="s">
        <v>687</v>
      </c>
      <c r="G296" s="4" t="s">
        <v>46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spans="1:22" hidden="1" x14ac:dyDescent="0.25">
      <c r="A297" s="4" t="s">
        <v>684</v>
      </c>
      <c r="B297" s="3" t="s">
        <v>685</v>
      </c>
      <c r="C297" s="3" t="s">
        <v>686</v>
      </c>
      <c r="D297" s="3" t="s">
        <v>44</v>
      </c>
      <c r="E297" s="3" t="s">
        <v>44</v>
      </c>
      <c r="F297" s="3" t="s">
        <v>688</v>
      </c>
      <c r="G297" s="3" t="s">
        <v>46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idden="1" x14ac:dyDescent="0.25">
      <c r="A298" s="3" t="s">
        <v>684</v>
      </c>
      <c r="B298" s="4" t="s">
        <v>685</v>
      </c>
      <c r="C298" s="4" t="s">
        <v>686</v>
      </c>
      <c r="D298" s="4" t="s">
        <v>44</v>
      </c>
      <c r="E298" s="4" t="s">
        <v>44</v>
      </c>
      <c r="F298" s="4" t="s">
        <v>689</v>
      </c>
      <c r="G298" s="4" t="s">
        <v>46</v>
      </c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spans="1:22" hidden="1" x14ac:dyDescent="0.25">
      <c r="A299" s="4" t="s">
        <v>684</v>
      </c>
      <c r="B299" s="3" t="s">
        <v>685</v>
      </c>
      <c r="C299" s="3" t="s">
        <v>686</v>
      </c>
      <c r="D299" s="3" t="s">
        <v>44</v>
      </c>
      <c r="E299" s="3" t="s">
        <v>44</v>
      </c>
      <c r="F299" s="3" t="s">
        <v>690</v>
      </c>
      <c r="G299" s="3" t="s">
        <v>46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idden="1" x14ac:dyDescent="0.25">
      <c r="A300" s="3" t="s">
        <v>691</v>
      </c>
      <c r="B300" s="4" t="s">
        <v>692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spans="1:22" hidden="1" x14ac:dyDescent="0.25">
      <c r="A301" s="4" t="s">
        <v>693</v>
      </c>
      <c r="B301" s="3" t="s">
        <v>694</v>
      </c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idden="1" x14ac:dyDescent="0.25">
      <c r="A302" s="3" t="s">
        <v>695</v>
      </c>
      <c r="B302" s="3" t="s">
        <v>696</v>
      </c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idden="1" x14ac:dyDescent="0.25">
      <c r="A303" s="4" t="s">
        <v>697</v>
      </c>
      <c r="B303" s="4" t="s">
        <v>698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spans="1:22" hidden="1" x14ac:dyDescent="0.25">
      <c r="A304" s="3" t="s">
        <v>699</v>
      </c>
      <c r="B304" s="4" t="s">
        <v>700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spans="1:22" hidden="1" x14ac:dyDescent="0.25">
      <c r="A305" s="4" t="s">
        <v>701</v>
      </c>
      <c r="B305" s="4" t="s">
        <v>702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spans="1:22" x14ac:dyDescent="0.25">
      <c r="A306" s="3" t="s">
        <v>703</v>
      </c>
      <c r="B306" s="4" t="s">
        <v>704</v>
      </c>
      <c r="C306" s="4" t="s">
        <v>705</v>
      </c>
      <c r="D306" s="4" t="s">
        <v>29</v>
      </c>
      <c r="E306" s="4" t="s">
        <v>29</v>
      </c>
      <c r="F306" s="4" t="s">
        <v>706</v>
      </c>
      <c r="G306" s="4" t="s">
        <v>46</v>
      </c>
      <c r="H306" s="6" t="s">
        <v>707</v>
      </c>
      <c r="I306" s="4">
        <v>31</v>
      </c>
      <c r="J306" s="4">
        <v>0.5</v>
      </c>
      <c r="K306" s="4">
        <v>8</v>
      </c>
      <c r="L306" s="4">
        <v>1</v>
      </c>
      <c r="M306" s="4">
        <v>0</v>
      </c>
      <c r="N306" s="4">
        <v>2</v>
      </c>
      <c r="O306" s="4">
        <v>1</v>
      </c>
      <c r="P306" s="3">
        <f>(IF(I306=0, 0, IF(I306&lt;=100, 1, IF(I306&lt;=1000, 3, IF(I306&lt;=10000, 6, 10)))) * (1 + J306)) * ((1 + IF(K306&lt;=20, 1, IF(K306&lt;=40, 3, 5)) + IF(L306&lt;=4, 2, IF(L306&lt;=6, 4, 6)) + M306*5) * (N306*O306))</f>
        <v>12</v>
      </c>
      <c r="Q306" s="10">
        <v>46129</v>
      </c>
      <c r="R306" s="10">
        <v>45722</v>
      </c>
      <c r="S306" s="3">
        <f ca="1">(IF(R306="", 730, TODAY()-R306) * 1) + (IF(OR(Q306="", R306&gt;Q306), IF(R306="", 730, TODAY()-R306), TODAY()-Q306) * 0.3)</f>
        <v>460.3</v>
      </c>
      <c r="T306" s="3">
        <f>SUMIF(A:A, A306, P:P)</f>
        <v>24</v>
      </c>
      <c r="U306" s="4">
        <v>2</v>
      </c>
      <c r="V306" s="3">
        <f ca="1">T306 * (1 +LOG10(U306)) * (1 + (S306 / 90))</f>
        <v>190.92181509703704</v>
      </c>
    </row>
    <row r="307" spans="1:22" x14ac:dyDescent="0.25">
      <c r="A307" s="4" t="s">
        <v>703</v>
      </c>
      <c r="B307" s="3" t="s">
        <v>704</v>
      </c>
      <c r="C307" s="3" t="s">
        <v>705</v>
      </c>
      <c r="D307" s="3" t="s">
        <v>29</v>
      </c>
      <c r="E307" s="3" t="s">
        <v>29</v>
      </c>
      <c r="F307" s="3" t="s">
        <v>708</v>
      </c>
      <c r="G307" s="3" t="s">
        <v>46</v>
      </c>
      <c r="H307" s="5" t="s">
        <v>707</v>
      </c>
      <c r="I307" s="3">
        <v>12</v>
      </c>
      <c r="J307" s="3">
        <v>0.5</v>
      </c>
      <c r="K307" s="3">
        <v>8</v>
      </c>
      <c r="L307" s="3">
        <v>1</v>
      </c>
      <c r="M307" s="3">
        <v>0</v>
      </c>
      <c r="N307" s="3">
        <v>2</v>
      </c>
      <c r="O307" s="3">
        <v>1</v>
      </c>
      <c r="P307" s="3">
        <f>(IF(I307=0, 0, IF(I307&lt;=100, 1, IF(I307&lt;=1000, 3, IF(I307&lt;=10000, 6, 10)))) * (1 + J307)) * ((1 + IF(K307&lt;=20, 1, IF(K307&lt;=40, 3, 5)) + IF(L307&lt;=4, 2, IF(L307&lt;=6, 4, 6)) + M307*5) * (N307*O307))</f>
        <v>12</v>
      </c>
      <c r="Q307" s="9">
        <v>46129</v>
      </c>
      <c r="R307" s="9">
        <v>45722</v>
      </c>
      <c r="S307" s="3">
        <f ca="1">(IF(R307="", 730, TODAY()-R307) * 1) + (IF(OR(Q307="", R307&gt;Q307), IF(R307="", 730, TODAY()-R307), TODAY()-Q307) * 0.3)</f>
        <v>460.3</v>
      </c>
      <c r="T307" s="3">
        <f>SUMIF(A:A, A307, P:P)</f>
        <v>24</v>
      </c>
      <c r="U307" s="3">
        <v>2</v>
      </c>
      <c r="V307" s="3">
        <f ca="1">T307 * (1 +LOG10(U307)) * (1 + (S307 / 90))</f>
        <v>190.92181509703704</v>
      </c>
    </row>
    <row r="308" spans="1:22" hidden="1" x14ac:dyDescent="0.25">
      <c r="A308" s="3" t="s">
        <v>709</v>
      </c>
      <c r="B308" s="4" t="s">
        <v>710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spans="1:22" hidden="1" x14ac:dyDescent="0.25">
      <c r="A309" s="4" t="s">
        <v>711</v>
      </c>
      <c r="B309" s="3" t="s">
        <v>712</v>
      </c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idden="1" x14ac:dyDescent="0.25">
      <c r="A310" s="3" t="s">
        <v>713</v>
      </c>
      <c r="B310" s="3" t="s">
        <v>714</v>
      </c>
      <c r="C310" s="3" t="s">
        <v>715</v>
      </c>
      <c r="D310" s="3" t="s">
        <v>29</v>
      </c>
      <c r="E310" s="3" t="s">
        <v>44</v>
      </c>
      <c r="F310" s="3" t="s">
        <v>716</v>
      </c>
      <c r="G310" s="3" t="s">
        <v>46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x14ac:dyDescent="0.25">
      <c r="A311" s="4" t="s">
        <v>713</v>
      </c>
      <c r="B311" s="3" t="s">
        <v>714</v>
      </c>
      <c r="C311" s="3" t="s">
        <v>715</v>
      </c>
      <c r="D311" s="3" t="s">
        <v>29</v>
      </c>
      <c r="E311" s="3" t="s">
        <v>29</v>
      </c>
      <c r="F311" s="3" t="s">
        <v>717</v>
      </c>
      <c r="G311" s="3" t="s">
        <v>46</v>
      </c>
      <c r="H311" s="5" t="s">
        <v>718</v>
      </c>
      <c r="I311" s="3">
        <v>2018</v>
      </c>
      <c r="J311" s="3">
        <v>0.5</v>
      </c>
      <c r="K311" s="3">
        <v>21</v>
      </c>
      <c r="L311" s="3">
        <v>11</v>
      </c>
      <c r="M311" s="3">
        <v>1</v>
      </c>
      <c r="N311" s="3">
        <v>1</v>
      </c>
      <c r="O311" s="3">
        <v>1</v>
      </c>
      <c r="P311" s="3">
        <f t="shared" ref="P311:P317" si="8">(IF(I311=0, 0, IF(I311&lt;=100, 1, IF(I311&lt;=1000, 3, IF(I311&lt;=10000, 6, 10)))) * (1 + J311)) * ((1 + IF(K311&lt;=20, 1, IF(K311&lt;=40, 3, 5)) + IF(L311&lt;=4, 2, IF(L311&lt;=6, 4, 6)) + M311*5) * (N311*O311))</f>
        <v>135</v>
      </c>
      <c r="Q311" s="9"/>
      <c r="R311" s="9">
        <v>45849</v>
      </c>
      <c r="S311" s="3">
        <f t="shared" ref="S311:S317" ca="1" si="9">(IF(R311="", 730, TODAY()-R311) * 1) + (IF(OR(Q311="", R311&gt;Q311), IF(R311="", 730, TODAY()-R311), TODAY()-Q311) * 0.3)</f>
        <v>417.3</v>
      </c>
      <c r="T311" s="3">
        <f t="shared" ref="T311:T317" si="10">SUMIF(A:A, A311, P:P)</f>
        <v>270</v>
      </c>
      <c r="U311" s="3">
        <v>2</v>
      </c>
      <c r="V311" s="3">
        <f t="shared" ref="V311:V317" ca="1" si="11">T311 * (1 +LOG10(U311)) * (1 + (S311 / 90))</f>
        <v>1980.037550401013</v>
      </c>
    </row>
    <row r="312" spans="1:22" x14ac:dyDescent="0.25">
      <c r="A312" s="3" t="s">
        <v>713</v>
      </c>
      <c r="B312" s="4" t="s">
        <v>714</v>
      </c>
      <c r="C312" s="4" t="s">
        <v>715</v>
      </c>
      <c r="D312" s="4" t="s">
        <v>29</v>
      </c>
      <c r="E312" s="4" t="s">
        <v>29</v>
      </c>
      <c r="F312" s="4" t="s">
        <v>719</v>
      </c>
      <c r="G312" s="4" t="s">
        <v>46</v>
      </c>
      <c r="H312" s="6" t="s">
        <v>720</v>
      </c>
      <c r="I312" s="4">
        <v>5982</v>
      </c>
      <c r="J312" s="4">
        <v>0.5</v>
      </c>
      <c r="K312" s="4">
        <v>21</v>
      </c>
      <c r="L312" s="4">
        <v>15</v>
      </c>
      <c r="M312" s="4">
        <v>1</v>
      </c>
      <c r="N312" s="4">
        <v>1</v>
      </c>
      <c r="O312" s="4">
        <v>1</v>
      </c>
      <c r="P312" s="3">
        <f t="shared" si="8"/>
        <v>135</v>
      </c>
      <c r="Q312" s="10">
        <v>46049</v>
      </c>
      <c r="R312" s="10">
        <v>45849</v>
      </c>
      <c r="S312" s="3">
        <f t="shared" ca="1" si="9"/>
        <v>357.3</v>
      </c>
      <c r="T312" s="3">
        <f t="shared" si="10"/>
        <v>270</v>
      </c>
      <c r="U312" s="4">
        <v>2</v>
      </c>
      <c r="V312" s="3">
        <f t="shared" ca="1" si="11"/>
        <v>1745.8521511814968</v>
      </c>
    </row>
    <row r="313" spans="1:22" x14ac:dyDescent="0.25">
      <c r="A313" s="4" t="s">
        <v>721</v>
      </c>
      <c r="B313" s="3" t="s">
        <v>722</v>
      </c>
      <c r="C313" s="3" t="s">
        <v>723</v>
      </c>
      <c r="D313" s="3" t="s">
        <v>29</v>
      </c>
      <c r="E313" s="3" t="s">
        <v>29</v>
      </c>
      <c r="F313" s="3" t="s">
        <v>724</v>
      </c>
      <c r="G313" s="3" t="s">
        <v>46</v>
      </c>
      <c r="H313" s="5" t="s">
        <v>725</v>
      </c>
      <c r="I313" s="3">
        <v>146</v>
      </c>
      <c r="J313" s="3">
        <v>0.5</v>
      </c>
      <c r="K313" s="3">
        <v>14</v>
      </c>
      <c r="L313" s="3">
        <v>9</v>
      </c>
      <c r="M313" s="3">
        <v>1</v>
      </c>
      <c r="N313" s="3">
        <v>1</v>
      </c>
      <c r="O313" s="3">
        <v>1</v>
      </c>
      <c r="P313" s="3">
        <f t="shared" si="8"/>
        <v>58.5</v>
      </c>
      <c r="Q313" s="9">
        <v>46122</v>
      </c>
      <c r="R313" s="9">
        <v>45874</v>
      </c>
      <c r="S313" s="3">
        <f t="shared" ca="1" si="9"/>
        <v>310.39999999999998</v>
      </c>
      <c r="T313" s="3">
        <f t="shared" si="10"/>
        <v>265.5</v>
      </c>
      <c r="U313" s="3">
        <v>5</v>
      </c>
      <c r="V313" s="3">
        <f t="shared" ca="1" si="11"/>
        <v>2006.7893897216181</v>
      </c>
    </row>
    <row r="314" spans="1:22" x14ac:dyDescent="0.25">
      <c r="A314" s="3" t="s">
        <v>721</v>
      </c>
      <c r="B314" s="4" t="s">
        <v>722</v>
      </c>
      <c r="C314" s="4" t="s">
        <v>723</v>
      </c>
      <c r="D314" s="4" t="s">
        <v>29</v>
      </c>
      <c r="E314" s="4" t="s">
        <v>29</v>
      </c>
      <c r="F314" s="4" t="s">
        <v>726</v>
      </c>
      <c r="G314" s="4" t="s">
        <v>46</v>
      </c>
      <c r="H314" s="6" t="s">
        <v>725</v>
      </c>
      <c r="I314" s="4">
        <v>166</v>
      </c>
      <c r="J314" s="4">
        <v>0.5</v>
      </c>
      <c r="K314" s="4">
        <v>14</v>
      </c>
      <c r="L314" s="4">
        <v>14</v>
      </c>
      <c r="M314" s="4">
        <v>1</v>
      </c>
      <c r="N314" s="4">
        <v>1</v>
      </c>
      <c r="O314" s="4">
        <v>1</v>
      </c>
      <c r="P314" s="3">
        <f t="shared" si="8"/>
        <v>58.5</v>
      </c>
      <c r="Q314" s="10">
        <v>46122</v>
      </c>
      <c r="R314" s="10">
        <v>45874</v>
      </c>
      <c r="S314" s="3">
        <f t="shared" ca="1" si="9"/>
        <v>310.39999999999998</v>
      </c>
      <c r="T314" s="3">
        <f t="shared" si="10"/>
        <v>265.5</v>
      </c>
      <c r="U314" s="4">
        <v>5</v>
      </c>
      <c r="V314" s="3">
        <f t="shared" ca="1" si="11"/>
        <v>2006.7893897216181</v>
      </c>
    </row>
    <row r="315" spans="1:22" x14ac:dyDescent="0.25">
      <c r="A315" s="4" t="s">
        <v>721</v>
      </c>
      <c r="B315" s="3" t="s">
        <v>722</v>
      </c>
      <c r="C315" s="3" t="s">
        <v>723</v>
      </c>
      <c r="D315" s="3" t="s">
        <v>29</v>
      </c>
      <c r="E315" s="3" t="s">
        <v>29</v>
      </c>
      <c r="F315" s="3" t="s">
        <v>727</v>
      </c>
      <c r="G315" s="3" t="s">
        <v>46</v>
      </c>
      <c r="H315" s="5" t="s">
        <v>725</v>
      </c>
      <c r="I315" s="3">
        <v>84</v>
      </c>
      <c r="J315" s="3">
        <v>0.5</v>
      </c>
      <c r="K315" s="3">
        <v>14</v>
      </c>
      <c r="L315" s="3">
        <v>15</v>
      </c>
      <c r="M315" s="3">
        <v>1</v>
      </c>
      <c r="N315" s="3">
        <v>1</v>
      </c>
      <c r="O315" s="3">
        <v>1</v>
      </c>
      <c r="P315" s="3">
        <f t="shared" si="8"/>
        <v>19.5</v>
      </c>
      <c r="Q315" s="9">
        <v>46122</v>
      </c>
      <c r="R315" s="9">
        <v>45874</v>
      </c>
      <c r="S315" s="3">
        <f t="shared" ca="1" si="9"/>
        <v>310.39999999999998</v>
      </c>
      <c r="T315" s="3">
        <f t="shared" si="10"/>
        <v>265.5</v>
      </c>
      <c r="U315" s="3">
        <v>5</v>
      </c>
      <c r="V315" s="3">
        <f t="shared" ca="1" si="11"/>
        <v>2006.7893897216181</v>
      </c>
    </row>
    <row r="316" spans="1:22" x14ac:dyDescent="0.25">
      <c r="A316" s="3" t="s">
        <v>721</v>
      </c>
      <c r="B316" s="4" t="s">
        <v>722</v>
      </c>
      <c r="C316" s="4" t="s">
        <v>723</v>
      </c>
      <c r="D316" s="4" t="s">
        <v>29</v>
      </c>
      <c r="E316" s="4" t="s">
        <v>29</v>
      </c>
      <c r="F316" s="4" t="s">
        <v>728</v>
      </c>
      <c r="G316" s="4" t="s">
        <v>46</v>
      </c>
      <c r="H316" s="6" t="s">
        <v>725</v>
      </c>
      <c r="I316" s="4">
        <v>4601</v>
      </c>
      <c r="J316" s="4">
        <v>0.5</v>
      </c>
      <c r="K316" s="4">
        <v>14</v>
      </c>
      <c r="L316" s="4">
        <v>9</v>
      </c>
      <c r="M316" s="4">
        <v>1</v>
      </c>
      <c r="N316" s="4">
        <v>1</v>
      </c>
      <c r="O316" s="4">
        <v>1</v>
      </c>
      <c r="P316" s="3">
        <f t="shared" si="8"/>
        <v>117</v>
      </c>
      <c r="Q316" s="10">
        <v>46122</v>
      </c>
      <c r="R316" s="10">
        <v>45874</v>
      </c>
      <c r="S316" s="3">
        <f t="shared" ca="1" si="9"/>
        <v>310.39999999999998</v>
      </c>
      <c r="T316" s="3">
        <f t="shared" si="10"/>
        <v>265.5</v>
      </c>
      <c r="U316" s="4">
        <v>5</v>
      </c>
      <c r="V316" s="3">
        <f t="shared" ca="1" si="11"/>
        <v>2006.7893897216181</v>
      </c>
    </row>
    <row r="317" spans="1:22" x14ac:dyDescent="0.25">
      <c r="A317" s="4" t="s">
        <v>721</v>
      </c>
      <c r="B317" s="3" t="s">
        <v>722</v>
      </c>
      <c r="C317" s="3" t="s">
        <v>723</v>
      </c>
      <c r="D317" s="3" t="s">
        <v>29</v>
      </c>
      <c r="E317" s="3" t="s">
        <v>29</v>
      </c>
      <c r="F317" s="3" t="s">
        <v>729</v>
      </c>
      <c r="G317" s="3" t="s">
        <v>46</v>
      </c>
      <c r="H317" s="5" t="s">
        <v>725</v>
      </c>
      <c r="I317" s="3">
        <v>71</v>
      </c>
      <c r="J317" s="3">
        <v>0.5</v>
      </c>
      <c r="K317" s="3">
        <v>14</v>
      </c>
      <c r="L317" s="3">
        <v>8</v>
      </c>
      <c r="M317" s="3">
        <v>0</v>
      </c>
      <c r="N317" s="3">
        <v>1</v>
      </c>
      <c r="O317" s="3">
        <v>1</v>
      </c>
      <c r="P317" s="3">
        <f t="shared" si="8"/>
        <v>12</v>
      </c>
      <c r="Q317" s="9">
        <v>46122</v>
      </c>
      <c r="R317" s="9">
        <v>45874</v>
      </c>
      <c r="S317" s="3">
        <f t="shared" ca="1" si="9"/>
        <v>310.39999999999998</v>
      </c>
      <c r="T317" s="3">
        <f t="shared" si="10"/>
        <v>265.5</v>
      </c>
      <c r="U317" s="3">
        <v>5</v>
      </c>
      <c r="V317" s="3">
        <f t="shared" ca="1" si="11"/>
        <v>2006.7893897216181</v>
      </c>
    </row>
    <row r="318" spans="1:22" hidden="1" x14ac:dyDescent="0.25">
      <c r="A318" s="3" t="s">
        <v>730</v>
      </c>
      <c r="B318" s="4" t="s">
        <v>731</v>
      </c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spans="1:22" hidden="1" x14ac:dyDescent="0.25">
      <c r="A319" s="4" t="s">
        <v>732</v>
      </c>
      <c r="B319" s="3" t="s">
        <v>733</v>
      </c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idden="1" x14ac:dyDescent="0.25">
      <c r="A320" s="3" t="s">
        <v>734</v>
      </c>
      <c r="B320" s="4" t="s">
        <v>735</v>
      </c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spans="1:22" hidden="1" x14ac:dyDescent="0.25">
      <c r="A321" s="4" t="s">
        <v>736</v>
      </c>
      <c r="B321" s="4" t="s">
        <v>737</v>
      </c>
      <c r="C321" s="4" t="s">
        <v>738</v>
      </c>
      <c r="D321" s="4" t="s">
        <v>29</v>
      </c>
      <c r="E321" s="4" t="s">
        <v>44</v>
      </c>
      <c r="F321" s="4" t="s">
        <v>739</v>
      </c>
      <c r="G321" s="4" t="s">
        <v>740</v>
      </c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spans="1:22" hidden="1" x14ac:dyDescent="0.25">
      <c r="A322" s="3" t="s">
        <v>736</v>
      </c>
      <c r="B322" s="3" t="s">
        <v>737</v>
      </c>
      <c r="C322" s="3" t="s">
        <v>738</v>
      </c>
      <c r="D322" s="3" t="s">
        <v>29</v>
      </c>
      <c r="E322" s="3" t="s">
        <v>44</v>
      </c>
      <c r="F322" s="3" t="s">
        <v>741</v>
      </c>
      <c r="G322" s="3" t="s">
        <v>740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x14ac:dyDescent="0.25">
      <c r="A323" s="4" t="s">
        <v>736</v>
      </c>
      <c r="B323" s="3" t="s">
        <v>737</v>
      </c>
      <c r="C323" s="3" t="s">
        <v>738</v>
      </c>
      <c r="D323" s="3" t="s">
        <v>29</v>
      </c>
      <c r="E323" s="3" t="s">
        <v>29</v>
      </c>
      <c r="F323" s="3" t="s">
        <v>742</v>
      </c>
      <c r="G323" s="3" t="s">
        <v>740</v>
      </c>
      <c r="H323" s="5" t="s">
        <v>743</v>
      </c>
      <c r="I323" s="3"/>
      <c r="J323" s="3"/>
      <c r="K323" s="3"/>
      <c r="L323" s="3"/>
      <c r="M323" s="3"/>
      <c r="N323" s="3"/>
      <c r="O323" s="3"/>
      <c r="P323" s="3">
        <f>(IF(I323=0, 0, IF(I323&lt;=100, 1, IF(I323&lt;=1000, 3, IF(I323&lt;=10000, 6, 10)))) * (1 + J323)) * ((1 + IF(K323&lt;=20, 1, IF(K323&lt;=40, 3, 5)) + IF(L323&lt;=4, 2, IF(L323&lt;=6, 4, 6)) + M323*5) * (N323*O323))</f>
        <v>0</v>
      </c>
      <c r="Q323" s="9"/>
      <c r="R323" s="9"/>
      <c r="S323" s="3">
        <f ca="1">(IF(R323="", 730, TODAY()-R323) * 1) + (IF(OR(Q323="", R323&gt;Q323), IF(R323="", 730, TODAY()-R323), TODAY()-Q323) * 0.3)</f>
        <v>949</v>
      </c>
      <c r="T323" s="3">
        <f>SUMIF(A:A, A323, P:P)</f>
        <v>216</v>
      </c>
      <c r="U323" s="3"/>
      <c r="V323" s="3" t="e">
        <f ca="1">T323 * (1 +LOG10(U323)) * (1 + (S323 / 90))</f>
        <v>#NUM!</v>
      </c>
    </row>
    <row r="324" spans="1:22" x14ac:dyDescent="0.25">
      <c r="A324" s="3" t="s">
        <v>736</v>
      </c>
      <c r="B324" s="4" t="s">
        <v>737</v>
      </c>
      <c r="C324" s="4" t="s">
        <v>738</v>
      </c>
      <c r="D324" s="4" t="s">
        <v>29</v>
      </c>
      <c r="E324" s="4" t="s">
        <v>29</v>
      </c>
      <c r="F324" s="4" t="s">
        <v>744</v>
      </c>
      <c r="G324" s="4" t="s">
        <v>740</v>
      </c>
      <c r="H324" s="6" t="s">
        <v>745</v>
      </c>
      <c r="I324" s="4">
        <v>54302</v>
      </c>
      <c r="J324" s="4">
        <v>0.5</v>
      </c>
      <c r="K324" s="4">
        <v>37</v>
      </c>
      <c r="L324" s="4">
        <v>2</v>
      </c>
      <c r="M324" s="4">
        <v>0</v>
      </c>
      <c r="N324" s="4">
        <v>1.5</v>
      </c>
      <c r="O324" s="4">
        <v>1</v>
      </c>
      <c r="P324" s="3">
        <f>(IF(I324=0, 0, IF(I324&lt;=100, 1, IF(I324&lt;=1000, 3, IF(I324&lt;=10000, 6, 10)))) * (1 + J324)) * ((1 + IF(K324&lt;=20, 1, IF(K324&lt;=40, 3, 5)) + IF(L324&lt;=4, 2, IF(L324&lt;=6, 4, 6)) + M324*5) * (N324*O324))</f>
        <v>135</v>
      </c>
      <c r="Q324" s="10">
        <v>46078</v>
      </c>
      <c r="R324" s="10">
        <v>45845</v>
      </c>
      <c r="S324" s="3">
        <f ca="1">(IF(R324="", 730, TODAY()-R324) * 1) + (IF(OR(Q324="", R324&gt;Q324), IF(R324="", 730, TODAY()-R324), TODAY()-Q324) * 0.3)</f>
        <v>352.6</v>
      </c>
      <c r="T324" s="3">
        <f>SUMIF(A:A, A324, P:P)</f>
        <v>216</v>
      </c>
      <c r="U324" s="4">
        <v>2</v>
      </c>
      <c r="V324" s="3">
        <f ca="1">T324 * (1 +LOG10(U324)) * (1 + (S324 / 90))</f>
        <v>1382.0061025941077</v>
      </c>
    </row>
    <row r="325" spans="1:22" x14ac:dyDescent="0.25">
      <c r="A325" s="4" t="s">
        <v>736</v>
      </c>
      <c r="B325" s="3" t="s">
        <v>737</v>
      </c>
      <c r="C325" s="3" t="s">
        <v>738</v>
      </c>
      <c r="D325" s="3" t="s">
        <v>29</v>
      </c>
      <c r="E325" s="3" t="s">
        <v>29</v>
      </c>
      <c r="F325" s="3" t="s">
        <v>746</v>
      </c>
      <c r="G325" s="3" t="s">
        <v>740</v>
      </c>
      <c r="H325" s="5" t="s">
        <v>574</v>
      </c>
      <c r="I325" s="3">
        <v>4708</v>
      </c>
      <c r="J325" s="3">
        <v>0.5</v>
      </c>
      <c r="K325" s="3">
        <v>37</v>
      </c>
      <c r="L325" s="3">
        <v>2</v>
      </c>
      <c r="M325" s="3">
        <v>0</v>
      </c>
      <c r="N325" s="3">
        <v>1.5</v>
      </c>
      <c r="O325" s="3">
        <v>1</v>
      </c>
      <c r="P325" s="3">
        <f>(IF(I325=0, 0, IF(I325&lt;=100, 1, IF(I325&lt;=1000, 3, IF(I325&lt;=10000, 6, 10)))) * (1 + J325)) * ((1 + IF(K325&lt;=20, 1, IF(K325&lt;=40, 3, 5)) + IF(L325&lt;=4, 2, IF(L325&lt;=6, 4, 6)) + M325*5) * (N325*O325))</f>
        <v>81</v>
      </c>
      <c r="Q325" s="9">
        <v>46078</v>
      </c>
      <c r="R325" s="9">
        <v>45845</v>
      </c>
      <c r="S325" s="3">
        <f ca="1">(IF(R325="", 730, TODAY()-R325) * 1) + (IF(OR(Q325="", R325&gt;Q325), IF(R325="", 730, TODAY()-R325), TODAY()-Q325) * 0.3)</f>
        <v>352.6</v>
      </c>
      <c r="T325" s="3">
        <f>SUMIF(A:A, A325, P:P)</f>
        <v>216</v>
      </c>
      <c r="U325" s="3">
        <v>2</v>
      </c>
      <c r="V325" s="3">
        <f ca="1">T325 * (1 +LOG10(U325)) * (1 + (S325 / 90))</f>
        <v>1382.0061025941077</v>
      </c>
    </row>
    <row r="326" spans="1:22" hidden="1" x14ac:dyDescent="0.25">
      <c r="A326" s="3" t="s">
        <v>747</v>
      </c>
      <c r="B326" s="3" t="s">
        <v>748</v>
      </c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idden="1" x14ac:dyDescent="0.25">
      <c r="A327" s="4" t="s">
        <v>749</v>
      </c>
      <c r="B327" s="3" t="s">
        <v>750</v>
      </c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idden="1" x14ac:dyDescent="0.25">
      <c r="A328" s="3" t="s">
        <v>751</v>
      </c>
      <c r="B328" s="4" t="s">
        <v>752</v>
      </c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spans="1:22" hidden="1" x14ac:dyDescent="0.25">
      <c r="A329" s="4" t="s">
        <v>753</v>
      </c>
      <c r="B329" s="4" t="s">
        <v>754</v>
      </c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spans="1:22" hidden="1" x14ac:dyDescent="0.25">
      <c r="A330" s="3" t="s">
        <v>755</v>
      </c>
      <c r="B330" s="4" t="s">
        <v>756</v>
      </c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spans="1:22" hidden="1" x14ac:dyDescent="0.25">
      <c r="A331" s="4" t="s">
        <v>757</v>
      </c>
      <c r="B331" s="3" t="s">
        <v>758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idden="1" x14ac:dyDescent="0.25">
      <c r="A332" s="3" t="s">
        <v>759</v>
      </c>
      <c r="B332" s="4" t="s">
        <v>760</v>
      </c>
      <c r="C332" s="4" t="s">
        <v>761</v>
      </c>
      <c r="D332" s="4" t="s">
        <v>29</v>
      </c>
      <c r="E332" s="4" t="s">
        <v>44</v>
      </c>
      <c r="F332" s="4" t="s">
        <v>762</v>
      </c>
      <c r="G332" s="4" t="s">
        <v>46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spans="1:22" hidden="1" x14ac:dyDescent="0.25">
      <c r="A333" s="4" t="s">
        <v>759</v>
      </c>
      <c r="B333" s="3" t="s">
        <v>760</v>
      </c>
      <c r="C333" s="3" t="s">
        <v>761</v>
      </c>
      <c r="D333" s="3" t="s">
        <v>29</v>
      </c>
      <c r="E333" s="3" t="s">
        <v>44</v>
      </c>
      <c r="F333" s="3" t="s">
        <v>763</v>
      </c>
      <c r="G333" s="3" t="s">
        <v>46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x14ac:dyDescent="0.25">
      <c r="A334" s="3" t="s">
        <v>759</v>
      </c>
      <c r="B334" s="4" t="s">
        <v>760</v>
      </c>
      <c r="C334" s="4" t="s">
        <v>761</v>
      </c>
      <c r="D334" s="4" t="s">
        <v>29</v>
      </c>
      <c r="E334" s="4" t="s">
        <v>29</v>
      </c>
      <c r="F334" s="4" t="s">
        <v>764</v>
      </c>
      <c r="G334" s="4" t="s">
        <v>46</v>
      </c>
      <c r="H334" s="6" t="s">
        <v>765</v>
      </c>
      <c r="I334" s="4">
        <v>55</v>
      </c>
      <c r="J334" s="4">
        <v>0.5</v>
      </c>
      <c r="K334" s="4">
        <v>17</v>
      </c>
      <c r="L334" s="4">
        <v>2</v>
      </c>
      <c r="M334" s="4">
        <v>0</v>
      </c>
      <c r="N334" s="4">
        <v>1</v>
      </c>
      <c r="O334" s="4">
        <v>1</v>
      </c>
      <c r="P334" s="3">
        <f>(IF(I334=0, 0, IF(I334&lt;=100, 1, IF(I334&lt;=1000, 3, IF(I334&lt;=10000, 6, 10)))) * (1 + J334)) * ((1 + IF(K334&lt;=20, 1, IF(K334&lt;=40, 3, 5)) + IF(L334&lt;=4, 2, IF(L334&lt;=6, 4, 6)) + M334*5) * (N334*O334))</f>
        <v>6</v>
      </c>
      <c r="Q334" s="10">
        <v>46132</v>
      </c>
      <c r="R334" s="10">
        <v>45806</v>
      </c>
      <c r="S334" s="3">
        <f ca="1">(IF(R334="", 730, TODAY()-R334) * 1) + (IF(OR(Q334="", R334&gt;Q334), IF(R334="", 730, TODAY()-R334), TODAY()-Q334) * 0.3)</f>
        <v>375.4</v>
      </c>
      <c r="T334" s="3">
        <f>SUMIF(A:A, A334, P:P)</f>
        <v>24</v>
      </c>
      <c r="U334" s="4">
        <v>2</v>
      </c>
      <c r="V334" s="3">
        <f ca="1">T334 * (1 +LOG10(U334)) * (1 + (S334 / 90))</f>
        <v>161.4664959952045</v>
      </c>
    </row>
    <row r="335" spans="1:22" x14ac:dyDescent="0.25">
      <c r="A335" s="4" t="s">
        <v>759</v>
      </c>
      <c r="B335" s="3" t="s">
        <v>760</v>
      </c>
      <c r="C335" s="3" t="s">
        <v>761</v>
      </c>
      <c r="D335" s="3" t="s">
        <v>29</v>
      </c>
      <c r="E335" s="3" t="s">
        <v>29</v>
      </c>
      <c r="F335" s="3" t="s">
        <v>766</v>
      </c>
      <c r="G335" s="3" t="s">
        <v>46</v>
      </c>
      <c r="H335" s="5" t="s">
        <v>765</v>
      </c>
      <c r="I335" s="3">
        <v>234</v>
      </c>
      <c r="J335" s="3">
        <v>0.5</v>
      </c>
      <c r="K335" s="3">
        <v>17</v>
      </c>
      <c r="L335" s="3">
        <v>2</v>
      </c>
      <c r="M335" s="3">
        <v>0</v>
      </c>
      <c r="N335" s="3">
        <v>1</v>
      </c>
      <c r="O335" s="3">
        <v>1</v>
      </c>
      <c r="P335" s="3">
        <f>(IF(I335=0, 0, IF(I335&lt;=100, 1, IF(I335&lt;=1000, 3, IF(I335&lt;=10000, 6, 10)))) * (1 + J335)) * ((1 + IF(K335&lt;=20, 1, IF(K335&lt;=40, 3, 5)) + IF(L335&lt;=4, 2, IF(L335&lt;=6, 4, 6)) + M335*5) * (N335*O335))</f>
        <v>18</v>
      </c>
      <c r="Q335" s="9">
        <v>46132</v>
      </c>
      <c r="R335" s="9">
        <v>45806</v>
      </c>
      <c r="S335" s="3">
        <f ca="1">(IF(R335="", 730, TODAY()-R335) * 1) + (IF(OR(Q335="", R335&gt;Q335), IF(R335="", 730, TODAY()-R335), TODAY()-Q335) * 0.3)</f>
        <v>375.4</v>
      </c>
      <c r="T335" s="3">
        <f>SUMIF(A:A, A335, P:P)</f>
        <v>24</v>
      </c>
      <c r="U335" s="3">
        <v>2</v>
      </c>
      <c r="V335" s="3">
        <f ca="1">T335 * (1 +LOG10(U335)) * (1 + (S335 / 90))</f>
        <v>161.4664959952045</v>
      </c>
    </row>
    <row r="336" spans="1:22" hidden="1" x14ac:dyDescent="0.25">
      <c r="A336" s="3" t="s">
        <v>767</v>
      </c>
      <c r="B336" s="4" t="s">
        <v>768</v>
      </c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spans="1:22" hidden="1" x14ac:dyDescent="0.25">
      <c r="A337" s="4" t="s">
        <v>769</v>
      </c>
      <c r="B337" s="4" t="s">
        <v>770</v>
      </c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spans="1:22" hidden="1" x14ac:dyDescent="0.25">
      <c r="A338" s="3" t="s">
        <v>771</v>
      </c>
      <c r="B338" s="4" t="s">
        <v>772</v>
      </c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spans="1:22" hidden="1" x14ac:dyDescent="0.25">
      <c r="A339" s="4" t="s">
        <v>773</v>
      </c>
      <c r="B339" s="4" t="s">
        <v>774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spans="1:22" hidden="1" x14ac:dyDescent="0.25">
      <c r="A340" s="3" t="s">
        <v>775</v>
      </c>
      <c r="B340" s="3" t="s">
        <v>776</v>
      </c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idden="1" x14ac:dyDescent="0.25">
      <c r="A341" s="4" t="s">
        <v>777</v>
      </c>
      <c r="B341" s="3" t="s">
        <v>778</v>
      </c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idden="1" x14ac:dyDescent="0.25">
      <c r="A342" s="3" t="s">
        <v>779</v>
      </c>
      <c r="B342" s="3" t="s">
        <v>780</v>
      </c>
      <c r="C342" s="3" t="s">
        <v>781</v>
      </c>
      <c r="D342" s="3" t="s">
        <v>29</v>
      </c>
      <c r="E342" s="3" t="s">
        <v>44</v>
      </c>
      <c r="F342" s="3" t="s">
        <v>782</v>
      </c>
      <c r="G342" s="3" t="s">
        <v>46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idden="1" x14ac:dyDescent="0.25">
      <c r="A343" s="4" t="s">
        <v>779</v>
      </c>
      <c r="B343" s="4" t="s">
        <v>780</v>
      </c>
      <c r="C343" s="4" t="s">
        <v>781</v>
      </c>
      <c r="D343" s="4" t="s">
        <v>29</v>
      </c>
      <c r="E343" s="4" t="s">
        <v>44</v>
      </c>
      <c r="F343" s="4" t="s">
        <v>783</v>
      </c>
      <c r="G343" s="4" t="s">
        <v>46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spans="1:22" hidden="1" x14ac:dyDescent="0.25">
      <c r="A344" s="3" t="s">
        <v>779</v>
      </c>
      <c r="B344" s="3" t="s">
        <v>780</v>
      </c>
      <c r="C344" s="3" t="s">
        <v>781</v>
      </c>
      <c r="D344" s="3" t="s">
        <v>29</v>
      </c>
      <c r="E344" s="3" t="s">
        <v>44</v>
      </c>
      <c r="F344" s="3" t="s">
        <v>784</v>
      </c>
      <c r="G344" s="3" t="s">
        <v>46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x14ac:dyDescent="0.25">
      <c r="A345" s="4" t="s">
        <v>779</v>
      </c>
      <c r="B345" s="4" t="s">
        <v>780</v>
      </c>
      <c r="C345" s="4" t="s">
        <v>781</v>
      </c>
      <c r="D345" s="4" t="s">
        <v>29</v>
      </c>
      <c r="E345" s="4" t="s">
        <v>29</v>
      </c>
      <c r="F345" s="4" t="s">
        <v>785</v>
      </c>
      <c r="G345" s="4" t="s">
        <v>46</v>
      </c>
      <c r="H345" s="6" t="s">
        <v>786</v>
      </c>
      <c r="I345" s="4">
        <v>1</v>
      </c>
      <c r="J345" s="4">
        <v>0.5</v>
      </c>
      <c r="K345" s="4">
        <v>4</v>
      </c>
      <c r="L345" s="4">
        <v>6</v>
      </c>
      <c r="M345" s="4">
        <v>1</v>
      </c>
      <c r="N345" s="4">
        <v>1</v>
      </c>
      <c r="O345" s="4">
        <v>1</v>
      </c>
      <c r="P345" s="3">
        <f t="shared" ref="P345:P351" si="12">(IF(I345=0, 0, IF(I345&lt;=100, 1, IF(I345&lt;=1000, 3, IF(I345&lt;=10000, 6, 10)))) * (1 + J345)) * ((1 + IF(K345&lt;=20, 1, IF(K345&lt;=40, 3, 5)) + IF(L345&lt;=4, 2, IF(L345&lt;=6, 4, 6)) + M345*5) * (N345*O345))</f>
        <v>16.5</v>
      </c>
      <c r="Q345" s="10"/>
      <c r="R345" s="10">
        <v>45954</v>
      </c>
      <c r="S345" s="3">
        <f t="shared" ref="S345:S351" ca="1" si="13">(IF(R345="", 730, TODAY()-R345) * 1) + (IF(OR(Q345="", R345&gt;Q345), IF(R345="", 730, TODAY()-R345), TODAY()-Q345) * 0.3)</f>
        <v>280.8</v>
      </c>
      <c r="T345" s="3">
        <f t="shared" ref="T345:T351" si="14">SUMIF(A:A, A345, P:P)</f>
        <v>82.5</v>
      </c>
      <c r="U345" s="4">
        <v>5</v>
      </c>
      <c r="V345" s="3">
        <f t="shared" ref="V345:V351" ca="1" si="15">T345 * (1 +LOG10(U345)) * (1 + (S345 / 90))</f>
        <v>577.47990447381289</v>
      </c>
    </row>
    <row r="346" spans="1:22" x14ac:dyDescent="0.25">
      <c r="A346" s="3" t="s">
        <v>779</v>
      </c>
      <c r="B346" s="3" t="s">
        <v>780</v>
      </c>
      <c r="C346" s="3" t="s">
        <v>781</v>
      </c>
      <c r="D346" s="3" t="s">
        <v>29</v>
      </c>
      <c r="E346" s="3" t="s">
        <v>29</v>
      </c>
      <c r="F346" s="3" t="s">
        <v>787</v>
      </c>
      <c r="G346" s="3" t="s">
        <v>46</v>
      </c>
      <c r="H346" s="5" t="s">
        <v>786</v>
      </c>
      <c r="I346" s="3">
        <v>7</v>
      </c>
      <c r="J346" s="3">
        <v>0.5</v>
      </c>
      <c r="K346" s="3">
        <v>4</v>
      </c>
      <c r="L346" s="3">
        <v>6</v>
      </c>
      <c r="M346" s="3">
        <v>1</v>
      </c>
      <c r="N346" s="3">
        <v>1</v>
      </c>
      <c r="O346" s="3">
        <v>1</v>
      </c>
      <c r="P346" s="3">
        <f t="shared" si="12"/>
        <v>16.5</v>
      </c>
      <c r="Q346" s="9"/>
      <c r="R346" s="9">
        <v>45954</v>
      </c>
      <c r="S346" s="3">
        <f t="shared" ca="1" si="13"/>
        <v>280.8</v>
      </c>
      <c r="T346" s="3">
        <f t="shared" si="14"/>
        <v>82.5</v>
      </c>
      <c r="U346" s="3">
        <v>5</v>
      </c>
      <c r="V346" s="3">
        <f t="shared" ca="1" si="15"/>
        <v>577.47990447381289</v>
      </c>
    </row>
    <row r="347" spans="1:22" x14ac:dyDescent="0.25">
      <c r="A347" s="4" t="s">
        <v>779</v>
      </c>
      <c r="B347" s="4" t="s">
        <v>780</v>
      </c>
      <c r="C347" s="4" t="s">
        <v>781</v>
      </c>
      <c r="D347" s="4" t="s">
        <v>29</v>
      </c>
      <c r="E347" s="4" t="s">
        <v>29</v>
      </c>
      <c r="F347" s="4" t="s">
        <v>788</v>
      </c>
      <c r="G347" s="4" t="s">
        <v>46</v>
      </c>
      <c r="H347" s="6" t="s">
        <v>786</v>
      </c>
      <c r="I347" s="4">
        <v>7</v>
      </c>
      <c r="J347" s="4">
        <v>0.5</v>
      </c>
      <c r="K347" s="4">
        <v>4</v>
      </c>
      <c r="L347" s="4">
        <v>6</v>
      </c>
      <c r="M347" s="4">
        <v>1</v>
      </c>
      <c r="N347" s="4">
        <v>1</v>
      </c>
      <c r="O347" s="4">
        <v>1</v>
      </c>
      <c r="P347" s="3">
        <f t="shared" si="12"/>
        <v>16.5</v>
      </c>
      <c r="Q347" s="10"/>
      <c r="R347" s="10">
        <v>45954</v>
      </c>
      <c r="S347" s="3">
        <f t="shared" ca="1" si="13"/>
        <v>280.8</v>
      </c>
      <c r="T347" s="3">
        <f t="shared" si="14"/>
        <v>82.5</v>
      </c>
      <c r="U347" s="4">
        <v>5</v>
      </c>
      <c r="V347" s="3">
        <f t="shared" ca="1" si="15"/>
        <v>577.47990447381289</v>
      </c>
    </row>
    <row r="348" spans="1:22" x14ac:dyDescent="0.25">
      <c r="A348" s="3" t="s">
        <v>779</v>
      </c>
      <c r="B348" s="3" t="s">
        <v>780</v>
      </c>
      <c r="C348" s="3" t="s">
        <v>781</v>
      </c>
      <c r="D348" s="3" t="s">
        <v>29</v>
      </c>
      <c r="E348" s="3" t="s">
        <v>29</v>
      </c>
      <c r="F348" s="3" t="s">
        <v>789</v>
      </c>
      <c r="G348" s="3" t="s">
        <v>46</v>
      </c>
      <c r="H348" s="5" t="s">
        <v>786</v>
      </c>
      <c r="I348" s="3">
        <v>7</v>
      </c>
      <c r="J348" s="3">
        <v>0.5</v>
      </c>
      <c r="K348" s="3">
        <v>4</v>
      </c>
      <c r="L348" s="3">
        <v>6</v>
      </c>
      <c r="M348" s="3">
        <v>1</v>
      </c>
      <c r="N348" s="3">
        <v>1</v>
      </c>
      <c r="O348" s="3">
        <v>1</v>
      </c>
      <c r="P348" s="3">
        <f t="shared" si="12"/>
        <v>16.5</v>
      </c>
      <c r="Q348" s="9"/>
      <c r="R348" s="9">
        <v>45954</v>
      </c>
      <c r="S348" s="3">
        <f t="shared" ca="1" si="13"/>
        <v>280.8</v>
      </c>
      <c r="T348" s="3">
        <f t="shared" si="14"/>
        <v>82.5</v>
      </c>
      <c r="U348" s="3">
        <v>5</v>
      </c>
      <c r="V348" s="3">
        <f t="shared" ca="1" si="15"/>
        <v>577.47990447381289</v>
      </c>
    </row>
    <row r="349" spans="1:22" x14ac:dyDescent="0.25">
      <c r="A349" s="4" t="s">
        <v>779</v>
      </c>
      <c r="B349" s="4" t="s">
        <v>780</v>
      </c>
      <c r="C349" s="4" t="s">
        <v>781</v>
      </c>
      <c r="D349" s="4" t="s">
        <v>29</v>
      </c>
      <c r="E349" s="4" t="s">
        <v>29</v>
      </c>
      <c r="F349" s="4" t="s">
        <v>790</v>
      </c>
      <c r="G349" s="4" t="s">
        <v>46</v>
      </c>
      <c r="H349" s="6" t="s">
        <v>786</v>
      </c>
      <c r="I349" s="4">
        <v>1</v>
      </c>
      <c r="J349" s="4">
        <v>0.5</v>
      </c>
      <c r="K349" s="4">
        <v>4</v>
      </c>
      <c r="L349" s="4">
        <v>5</v>
      </c>
      <c r="M349" s="4">
        <v>1</v>
      </c>
      <c r="N349" s="4">
        <v>1</v>
      </c>
      <c r="O349" s="4">
        <v>1</v>
      </c>
      <c r="P349" s="3">
        <f t="shared" si="12"/>
        <v>16.5</v>
      </c>
      <c r="Q349" s="10"/>
      <c r="R349" s="10">
        <v>45954</v>
      </c>
      <c r="S349" s="3">
        <f t="shared" ca="1" si="13"/>
        <v>280.8</v>
      </c>
      <c r="T349" s="3">
        <f t="shared" si="14"/>
        <v>82.5</v>
      </c>
      <c r="U349" s="4">
        <v>5</v>
      </c>
      <c r="V349" s="3">
        <f t="shared" ca="1" si="15"/>
        <v>577.47990447381289</v>
      </c>
    </row>
    <row r="350" spans="1:22" x14ac:dyDescent="0.25">
      <c r="A350" s="3" t="s">
        <v>791</v>
      </c>
      <c r="B350" s="3" t="s">
        <v>792</v>
      </c>
      <c r="C350" s="3" t="s">
        <v>793</v>
      </c>
      <c r="D350" s="3" t="s">
        <v>29</v>
      </c>
      <c r="E350" s="3" t="s">
        <v>29</v>
      </c>
      <c r="F350" s="3" t="s">
        <v>794</v>
      </c>
      <c r="G350" s="3" t="s">
        <v>46</v>
      </c>
      <c r="H350" s="5" t="s">
        <v>795</v>
      </c>
      <c r="I350" s="3">
        <v>6</v>
      </c>
      <c r="J350" s="3">
        <v>0.5</v>
      </c>
      <c r="K350" s="3">
        <v>9</v>
      </c>
      <c r="L350" s="3">
        <v>1</v>
      </c>
      <c r="M350" s="3">
        <v>0</v>
      </c>
      <c r="N350" s="3">
        <v>1</v>
      </c>
      <c r="O350" s="3">
        <v>1</v>
      </c>
      <c r="P350" s="3">
        <f t="shared" si="12"/>
        <v>6</v>
      </c>
      <c r="Q350" s="9">
        <v>46078</v>
      </c>
      <c r="R350" s="9">
        <v>45967</v>
      </c>
      <c r="S350" s="3">
        <f t="shared" ca="1" si="13"/>
        <v>230.6</v>
      </c>
      <c r="T350" s="3">
        <f t="shared" si="14"/>
        <v>27</v>
      </c>
      <c r="U350" s="3">
        <v>4</v>
      </c>
      <c r="V350" s="3">
        <f t="shared" ca="1" si="15"/>
        <v>154.08612996592342</v>
      </c>
    </row>
    <row r="351" spans="1:22" x14ac:dyDescent="0.25">
      <c r="A351" s="4" t="s">
        <v>791</v>
      </c>
      <c r="B351" s="4" t="s">
        <v>792</v>
      </c>
      <c r="C351" s="4" t="s">
        <v>793</v>
      </c>
      <c r="D351" s="4" t="s">
        <v>29</v>
      </c>
      <c r="E351" s="4" t="s">
        <v>29</v>
      </c>
      <c r="F351" s="4" t="s">
        <v>796</v>
      </c>
      <c r="G351" s="4" t="s">
        <v>46</v>
      </c>
      <c r="H351" s="6" t="s">
        <v>797</v>
      </c>
      <c r="I351" s="4">
        <v>1</v>
      </c>
      <c r="J351" s="4">
        <v>0.5</v>
      </c>
      <c r="K351" s="4">
        <v>9</v>
      </c>
      <c r="L351" s="4">
        <v>1</v>
      </c>
      <c r="M351" s="4">
        <v>0</v>
      </c>
      <c r="N351" s="4">
        <v>1</v>
      </c>
      <c r="O351" s="4">
        <v>1</v>
      </c>
      <c r="P351" s="3">
        <f t="shared" si="12"/>
        <v>6</v>
      </c>
      <c r="Q351" s="10">
        <v>46027</v>
      </c>
      <c r="R351" s="10">
        <v>45967</v>
      </c>
      <c r="S351" s="3">
        <f t="shared" ca="1" si="13"/>
        <v>245.9</v>
      </c>
      <c r="T351" s="3">
        <f t="shared" si="14"/>
        <v>27</v>
      </c>
      <c r="U351" s="4">
        <v>4</v>
      </c>
      <c r="V351" s="3">
        <f t="shared" ca="1" si="15"/>
        <v>161.43958532611879</v>
      </c>
    </row>
    <row r="352" spans="1:22" hidden="1" x14ac:dyDescent="0.25">
      <c r="A352" s="3" t="s">
        <v>791</v>
      </c>
      <c r="B352" s="3" t="s">
        <v>792</v>
      </c>
      <c r="C352" s="3" t="s">
        <v>793</v>
      </c>
      <c r="D352" s="3" t="s">
        <v>29</v>
      </c>
      <c r="E352" s="3" t="s">
        <v>44</v>
      </c>
      <c r="F352" s="3" t="s">
        <v>798</v>
      </c>
      <c r="G352" s="3" t="s">
        <v>46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idden="1" x14ac:dyDescent="0.25">
      <c r="A353" s="4" t="s">
        <v>791</v>
      </c>
      <c r="B353" s="4" t="s">
        <v>792</v>
      </c>
      <c r="C353" s="4" t="s">
        <v>793</v>
      </c>
      <c r="D353" s="4" t="s">
        <v>29</v>
      </c>
      <c r="E353" s="4" t="s">
        <v>44</v>
      </c>
      <c r="F353" s="4" t="s">
        <v>799</v>
      </c>
      <c r="G353" s="4" t="s">
        <v>46</v>
      </c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spans="1:22" hidden="1" x14ac:dyDescent="0.25">
      <c r="A354" s="3" t="s">
        <v>791</v>
      </c>
      <c r="B354" s="3" t="s">
        <v>792</v>
      </c>
      <c r="C354" s="3" t="s">
        <v>793</v>
      </c>
      <c r="D354" s="3" t="s">
        <v>29</v>
      </c>
      <c r="E354" s="3" t="s">
        <v>44</v>
      </c>
      <c r="F354" s="3" t="s">
        <v>800</v>
      </c>
      <c r="G354" s="3" t="s">
        <v>46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idden="1" x14ac:dyDescent="0.25">
      <c r="A355" s="4" t="s">
        <v>791</v>
      </c>
      <c r="B355" s="4" t="s">
        <v>792</v>
      </c>
      <c r="C355" s="4" t="s">
        <v>793</v>
      </c>
      <c r="D355" s="4" t="s">
        <v>29</v>
      </c>
      <c r="E355" s="4" t="s">
        <v>44</v>
      </c>
      <c r="F355" s="4" t="s">
        <v>801</v>
      </c>
      <c r="G355" s="4" t="s">
        <v>46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spans="1:22" hidden="1" x14ac:dyDescent="0.25">
      <c r="A356" s="3" t="s">
        <v>791</v>
      </c>
      <c r="B356" s="3" t="s">
        <v>792</v>
      </c>
      <c r="C356" s="3" t="s">
        <v>793</v>
      </c>
      <c r="D356" s="3" t="s">
        <v>29</v>
      </c>
      <c r="E356" s="3" t="s">
        <v>44</v>
      </c>
      <c r="F356" s="3" t="s">
        <v>802</v>
      </c>
      <c r="G356" s="3" t="s">
        <v>46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x14ac:dyDescent="0.25">
      <c r="A357" s="4" t="s">
        <v>791</v>
      </c>
      <c r="B357" s="3" t="s">
        <v>792</v>
      </c>
      <c r="C357" s="3" t="s">
        <v>793</v>
      </c>
      <c r="D357" s="3" t="s">
        <v>29</v>
      </c>
      <c r="E357" s="3" t="s">
        <v>29</v>
      </c>
      <c r="F357" s="3" t="s">
        <v>803</v>
      </c>
      <c r="G357" s="3" t="s">
        <v>46</v>
      </c>
      <c r="H357" s="5" t="s">
        <v>797</v>
      </c>
      <c r="I357" s="3">
        <v>1</v>
      </c>
      <c r="J357" s="3">
        <v>0.5</v>
      </c>
      <c r="K357" s="3">
        <v>9</v>
      </c>
      <c r="L357" s="3">
        <v>5</v>
      </c>
      <c r="M357" s="3">
        <v>0</v>
      </c>
      <c r="N357" s="3">
        <v>1</v>
      </c>
      <c r="O357" s="3">
        <v>1</v>
      </c>
      <c r="P357" s="3">
        <f>(IF(I357=0, 0, IF(I357&lt;=100, 1, IF(I357&lt;=1000, 3, IF(I357&lt;=10000, 6, 10)))) * (1 + J357)) * ((1 + IF(K357&lt;=20, 1, IF(K357&lt;=40, 3, 5)) + IF(L357&lt;=4, 2, IF(L357&lt;=6, 4, 6)) + M357*5) * (N357*O357))</f>
        <v>9</v>
      </c>
      <c r="Q357" s="9">
        <v>46027</v>
      </c>
      <c r="R357" s="9">
        <v>45967</v>
      </c>
      <c r="S357" s="3">
        <f ca="1">(IF(R357="", 730, TODAY()-R357) * 1) + (IF(OR(Q357="", R357&gt;Q357), IF(R357="", 730, TODAY()-R357), TODAY()-Q357) * 0.3)</f>
        <v>245.9</v>
      </c>
      <c r="T357" s="3">
        <f>SUMIF(A:A, A357, P:P)</f>
        <v>27</v>
      </c>
      <c r="U357" s="3">
        <v>4</v>
      </c>
      <c r="V357" s="3">
        <f ca="1">T357 * (1 +LOG10(U357)) * (1 + (S357 / 90))</f>
        <v>161.43958532611879</v>
      </c>
    </row>
    <row r="358" spans="1:22" x14ac:dyDescent="0.25">
      <c r="A358" s="3" t="s">
        <v>791</v>
      </c>
      <c r="B358" s="4" t="s">
        <v>792</v>
      </c>
      <c r="C358" s="4" t="s">
        <v>793</v>
      </c>
      <c r="D358" s="4" t="s">
        <v>29</v>
      </c>
      <c r="E358" s="4" t="s">
        <v>29</v>
      </c>
      <c r="F358" s="4" t="s">
        <v>804</v>
      </c>
      <c r="G358" s="4" t="s">
        <v>46</v>
      </c>
      <c r="H358" s="6" t="s">
        <v>797</v>
      </c>
      <c r="I358" s="4">
        <v>15</v>
      </c>
      <c r="J358" s="4">
        <v>0.5</v>
      </c>
      <c r="K358" s="4">
        <v>9</v>
      </c>
      <c r="L358" s="4">
        <v>1</v>
      </c>
      <c r="M358" s="4">
        <v>0</v>
      </c>
      <c r="N358" s="4">
        <v>1</v>
      </c>
      <c r="O358" s="4">
        <v>1</v>
      </c>
      <c r="P358" s="3">
        <f>(IF(I358=0, 0, IF(I358&lt;=100, 1, IF(I358&lt;=1000, 3, IF(I358&lt;=10000, 6, 10)))) * (1 + J358)) * ((1 + IF(K358&lt;=20, 1, IF(K358&lt;=40, 3, 5)) + IF(L358&lt;=4, 2, IF(L358&lt;=6, 4, 6)) + M358*5) * (N358*O358))</f>
        <v>6</v>
      </c>
      <c r="Q358" s="10">
        <v>46027</v>
      </c>
      <c r="R358" s="10">
        <v>45967</v>
      </c>
      <c r="S358" s="3">
        <f ca="1">(IF(R358="", 730, TODAY()-R358) * 1) + (IF(OR(Q358="", R358&gt;Q358), IF(R358="", 730, TODAY()-R358), TODAY()-Q358) * 0.3)</f>
        <v>245.9</v>
      </c>
      <c r="T358" s="3">
        <f>SUMIF(A:A, A358, P:P)</f>
        <v>27</v>
      </c>
      <c r="U358" s="4">
        <v>4</v>
      </c>
      <c r="V358" s="3">
        <f ca="1">T358 * (1 +LOG10(U358)) * (1 + (S358 / 90))</f>
        <v>161.43958532611879</v>
      </c>
    </row>
  </sheetData>
  <autoFilter ref="B1:V358" xr:uid="{00000000-0001-0000-0000-000000000000}">
    <filterColumn colId="2">
      <filters>
        <filter val="Activo"/>
      </filters>
    </filterColumn>
    <filterColumn colId="3">
      <filters>
        <filter val="Activo"/>
      </filters>
    </filterColumn>
    <sortState xmlns:xlrd2="http://schemas.microsoft.com/office/spreadsheetml/2017/richdata2" ref="B2:V358">
      <sortCondition ref="B1:B358"/>
    </sortState>
  </autoFilter>
  <hyperlinks>
    <hyperlink ref="H311" r:id="rId1" xr:uid="{00000000-0004-0000-0000-000000000000}"/>
    <hyperlink ref="H312" r:id="rId2" xr:uid="{00000000-0004-0000-0000-000001000000}"/>
    <hyperlink ref="H313" r:id="rId3" xr:uid="{00000000-0004-0000-0000-000002000000}"/>
    <hyperlink ref="H314" r:id="rId4" xr:uid="{00000000-0004-0000-0000-000003000000}"/>
    <hyperlink ref="H315" r:id="rId5" xr:uid="{00000000-0004-0000-0000-000004000000}"/>
    <hyperlink ref="H316" r:id="rId6" xr:uid="{00000000-0004-0000-0000-000005000000}"/>
    <hyperlink ref="H317" r:id="rId7" xr:uid="{00000000-0004-0000-0000-000006000000}"/>
    <hyperlink ref="H323" r:id="rId8" xr:uid="{00000000-0004-0000-0000-000007000000}"/>
    <hyperlink ref="H324" r:id="rId9" xr:uid="{00000000-0004-0000-0000-000008000000}"/>
    <hyperlink ref="H325" r:id="rId10" xr:uid="{00000000-0004-0000-0000-000009000000}"/>
    <hyperlink ref="H334" r:id="rId11" xr:uid="{00000000-0004-0000-0000-00000A000000}"/>
    <hyperlink ref="H335" r:id="rId12" xr:uid="{00000000-0004-0000-0000-00000B000000}"/>
    <hyperlink ref="H237" r:id="rId13" xr:uid="{00000000-0004-0000-0000-00000C000000}"/>
    <hyperlink ref="H238" r:id="rId14" xr:uid="{00000000-0004-0000-0000-00000D000000}"/>
    <hyperlink ref="H229" r:id="rId15" xr:uid="{00000000-0004-0000-0000-00000E000000}"/>
    <hyperlink ref="H230" r:id="rId16" xr:uid="{00000000-0004-0000-0000-00000F000000}"/>
    <hyperlink ref="H85" r:id="rId17" xr:uid="{00000000-0004-0000-0000-000010000000}"/>
    <hyperlink ref="H86" r:id="rId18" xr:uid="{00000000-0004-0000-0000-000011000000}"/>
    <hyperlink ref="H87" r:id="rId19" xr:uid="{00000000-0004-0000-0000-000012000000}"/>
    <hyperlink ref="H88" r:id="rId20" xr:uid="{00000000-0004-0000-0000-000013000000}"/>
    <hyperlink ref="H52" r:id="rId21" xr:uid="{00000000-0004-0000-0000-000014000000}"/>
    <hyperlink ref="H13" r:id="rId22" xr:uid="{00000000-0004-0000-0000-000015000000}"/>
    <hyperlink ref="H14" r:id="rId23" xr:uid="{00000000-0004-0000-0000-000016000000}"/>
    <hyperlink ref="H242" r:id="rId24" xr:uid="{00000000-0004-0000-0000-000017000000}"/>
    <hyperlink ref="H243" r:id="rId25" xr:uid="{00000000-0004-0000-0000-000018000000}"/>
    <hyperlink ref="H4" r:id="rId26" xr:uid="{00000000-0004-0000-0000-000019000000}"/>
    <hyperlink ref="H81" r:id="rId27" xr:uid="{00000000-0004-0000-0000-00001A000000}"/>
    <hyperlink ref="H82" r:id="rId28" xr:uid="{00000000-0004-0000-0000-00001B000000}"/>
    <hyperlink ref="H166" r:id="rId29" xr:uid="{00000000-0004-0000-0000-00001C000000}"/>
    <hyperlink ref="H37" r:id="rId30" xr:uid="{00000000-0004-0000-0000-00001D000000}"/>
    <hyperlink ref="H35" r:id="rId31" xr:uid="{00000000-0004-0000-0000-00001E000000}"/>
    <hyperlink ref="H36" r:id="rId32" xr:uid="{00000000-0004-0000-0000-00001F000000}"/>
    <hyperlink ref="H228" r:id="rId33" xr:uid="{00000000-0004-0000-0000-000020000000}"/>
    <hyperlink ref="H132" r:id="rId34" xr:uid="{00000000-0004-0000-0000-000021000000}"/>
    <hyperlink ref="H133" r:id="rId35" xr:uid="{00000000-0004-0000-0000-000022000000}"/>
    <hyperlink ref="H134" r:id="rId36" xr:uid="{00000000-0004-0000-0000-000023000000}"/>
    <hyperlink ref="H135" r:id="rId37" xr:uid="{00000000-0004-0000-0000-000024000000}"/>
    <hyperlink ref="H136" r:id="rId38" xr:uid="{00000000-0004-0000-0000-000025000000}"/>
    <hyperlink ref="H137" r:id="rId39" xr:uid="{00000000-0004-0000-0000-000026000000}"/>
    <hyperlink ref="H138" r:id="rId40" xr:uid="{00000000-0004-0000-0000-000027000000}"/>
    <hyperlink ref="H200" r:id="rId41" xr:uid="{00000000-0004-0000-0000-000028000000}"/>
    <hyperlink ref="H201" r:id="rId42" xr:uid="{00000000-0004-0000-0000-000029000000}"/>
    <hyperlink ref="H260" r:id="rId43" xr:uid="{00000000-0004-0000-0000-00002A000000}"/>
    <hyperlink ref="H261" r:id="rId44" xr:uid="{00000000-0004-0000-0000-00002B000000}"/>
    <hyperlink ref="H262" r:id="rId45" xr:uid="{00000000-0004-0000-0000-00002C000000}"/>
    <hyperlink ref="H291" r:id="rId46" xr:uid="{00000000-0004-0000-0000-00002D000000}"/>
    <hyperlink ref="H292" r:id="rId47" xr:uid="{00000000-0004-0000-0000-00002E000000}"/>
    <hyperlink ref="H293" r:id="rId48" xr:uid="{00000000-0004-0000-0000-00002F000000}"/>
    <hyperlink ref="H294" r:id="rId49" xr:uid="{00000000-0004-0000-0000-000030000000}"/>
    <hyperlink ref="H295" r:id="rId50" xr:uid="{00000000-0004-0000-0000-000031000000}"/>
    <hyperlink ref="H306" r:id="rId51" xr:uid="{00000000-0004-0000-0000-000032000000}"/>
    <hyperlink ref="H307" r:id="rId52" xr:uid="{00000000-0004-0000-0000-000033000000}"/>
    <hyperlink ref="H21" r:id="rId53" xr:uid="{00000000-0004-0000-0000-000034000000}"/>
    <hyperlink ref="H265" r:id="rId54" xr:uid="{00000000-0004-0000-0000-000035000000}"/>
    <hyperlink ref="H153" r:id="rId55" xr:uid="{00000000-0004-0000-0000-000036000000}"/>
    <hyperlink ref="H152" r:id="rId56" xr:uid="{00000000-0004-0000-0000-000037000000}"/>
    <hyperlink ref="H58" r:id="rId57" xr:uid="{00000000-0004-0000-0000-000038000000}"/>
    <hyperlink ref="H108" r:id="rId58" xr:uid="{00000000-0004-0000-0000-000039000000}"/>
    <hyperlink ref="H109" r:id="rId59" xr:uid="{00000000-0004-0000-0000-00003A000000}"/>
    <hyperlink ref="H110" r:id="rId60" xr:uid="{00000000-0004-0000-0000-00003B000000}"/>
    <hyperlink ref="H77" r:id="rId61" xr:uid="{00000000-0004-0000-0000-00003C000000}"/>
    <hyperlink ref="H78" r:id="rId62" xr:uid="{00000000-0004-0000-0000-00003D000000}"/>
    <hyperlink ref="H255" r:id="rId63" xr:uid="{00000000-0004-0000-0000-00003E000000}"/>
    <hyperlink ref="H256" r:id="rId64" xr:uid="{00000000-0004-0000-0000-00003F000000}"/>
    <hyperlink ref="H257" r:id="rId65" xr:uid="{00000000-0004-0000-0000-000040000000}"/>
    <hyperlink ref="H258" r:id="rId66" xr:uid="{00000000-0004-0000-0000-000041000000}"/>
    <hyperlink ref="H259" r:id="rId67" xr:uid="{00000000-0004-0000-0000-000042000000}"/>
    <hyperlink ref="H164" r:id="rId68" xr:uid="{00000000-0004-0000-0000-000043000000}"/>
    <hyperlink ref="H128" r:id="rId69" xr:uid="{00000000-0004-0000-0000-000044000000}"/>
    <hyperlink ref="H191" r:id="rId70" xr:uid="{00000000-0004-0000-0000-000045000000}"/>
    <hyperlink ref="H192" r:id="rId71" xr:uid="{00000000-0004-0000-0000-000046000000}"/>
    <hyperlink ref="H193" r:id="rId72" xr:uid="{00000000-0004-0000-0000-000047000000}"/>
    <hyperlink ref="H173" r:id="rId73" xr:uid="{00000000-0004-0000-0000-000048000000}"/>
    <hyperlink ref="H174" r:id="rId74" xr:uid="{00000000-0004-0000-0000-000049000000}"/>
    <hyperlink ref="H175" r:id="rId75" xr:uid="{00000000-0004-0000-0000-00004A000000}"/>
    <hyperlink ref="H176" r:id="rId76" xr:uid="{00000000-0004-0000-0000-00004B000000}"/>
    <hyperlink ref="H67" r:id="rId77" xr:uid="{00000000-0004-0000-0000-00004C000000}"/>
    <hyperlink ref="H63" r:id="rId78" xr:uid="{00000000-0004-0000-0000-00004D000000}"/>
    <hyperlink ref="H345" r:id="rId79" xr:uid="{00000000-0004-0000-0000-00004E000000}"/>
    <hyperlink ref="H346" r:id="rId80" xr:uid="{00000000-0004-0000-0000-00004F000000}"/>
    <hyperlink ref="H347" r:id="rId81" xr:uid="{00000000-0004-0000-0000-000050000000}"/>
    <hyperlink ref="H348" r:id="rId82" xr:uid="{00000000-0004-0000-0000-000051000000}"/>
    <hyperlink ref="H349" r:id="rId83" xr:uid="{00000000-0004-0000-0000-000052000000}"/>
    <hyperlink ref="H28" r:id="rId84" xr:uid="{00000000-0004-0000-0000-000053000000}"/>
    <hyperlink ref="H29" r:id="rId85" xr:uid="{00000000-0004-0000-0000-000054000000}"/>
    <hyperlink ref="H30" r:id="rId86" xr:uid="{00000000-0004-0000-0000-000055000000}"/>
    <hyperlink ref="H102" r:id="rId87" xr:uid="{00000000-0004-0000-0000-000056000000}"/>
    <hyperlink ref="H103" r:id="rId88" xr:uid="{00000000-0004-0000-0000-000057000000}"/>
    <hyperlink ref="H195" r:id="rId89" xr:uid="{00000000-0004-0000-0000-000058000000}"/>
    <hyperlink ref="H161" r:id="rId90" xr:uid="{00000000-0004-0000-0000-000059000000}"/>
    <hyperlink ref="H24" r:id="rId91" xr:uid="{00000000-0004-0000-0000-00005A000000}"/>
    <hyperlink ref="H25" r:id="rId92" xr:uid="{00000000-0004-0000-0000-00005B000000}"/>
    <hyperlink ref="H222" r:id="rId93" xr:uid="{00000000-0004-0000-0000-00005C000000}"/>
    <hyperlink ref="H223" r:id="rId94" xr:uid="{00000000-0004-0000-0000-00005D000000}"/>
    <hyperlink ref="H224" r:id="rId95" xr:uid="{00000000-0004-0000-0000-00005E000000}"/>
    <hyperlink ref="H350" r:id="rId96" xr:uid="{00000000-0004-0000-0000-00005F000000}"/>
    <hyperlink ref="H351" r:id="rId97" xr:uid="{00000000-0004-0000-0000-000060000000}"/>
    <hyperlink ref="H357" r:id="rId98" xr:uid="{00000000-0004-0000-0000-000061000000}"/>
    <hyperlink ref="H358" r:id="rId99" xr:uid="{00000000-0004-0000-0000-000062000000}"/>
    <hyperlink ref="H167" r:id="rId100" xr:uid="{00000000-0004-0000-0000-000063000000}"/>
    <hyperlink ref="H270" r:id="rId101" xr:uid="{00000000-0004-0000-0000-000064000000}"/>
    <hyperlink ref="H271" r:id="rId102" xr:uid="{00000000-0004-0000-0000-000065000000}"/>
    <hyperlink ref="H93" r:id="rId103" xr:uid="{00000000-0004-0000-0000-00006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Merged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Chunsheng Li</cp:lastModifiedBy>
  <cp:revision/>
  <dcterms:created xsi:type="dcterms:W3CDTF">2026-05-28T13:03:20Z</dcterms:created>
  <dcterms:modified xsi:type="dcterms:W3CDTF">2026-05-28T14:26:10Z</dcterms:modified>
  <cp:category/>
  <cp:contentStatus/>
</cp:coreProperties>
</file>